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\Downloads\"/>
    </mc:Choice>
  </mc:AlternateContent>
  <bookViews>
    <workbookView xWindow="0" yWindow="0" windowWidth="28800" windowHeight="12330" activeTab="1"/>
  </bookViews>
  <sheets>
    <sheet name="KENDER" sheetId="1" r:id="rId1"/>
    <sheet name="GRADE 1-3" sheetId="2" r:id="rId2"/>
    <sheet name="GRADE 4-6" sheetId="3" r:id="rId3"/>
    <sheet name="GRADE 7-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4" i="4" l="1"/>
  <c r="A134" i="4"/>
  <c r="C133" i="4"/>
  <c r="C132" i="4"/>
  <c r="G132" i="4" s="1"/>
  <c r="C131" i="4"/>
  <c r="G131" i="4" s="1"/>
  <c r="C130" i="4"/>
  <c r="C129" i="4"/>
  <c r="C128" i="4"/>
  <c r="C127" i="4"/>
  <c r="C126" i="4"/>
  <c r="C125" i="4"/>
  <c r="C122" i="4"/>
  <c r="C121" i="4"/>
  <c r="C120" i="4"/>
  <c r="C119" i="4"/>
  <c r="C118" i="4"/>
  <c r="G118" i="4" s="1"/>
  <c r="C117" i="4"/>
  <c r="G117" i="4" s="1"/>
  <c r="B98" i="4"/>
  <c r="A98" i="4"/>
  <c r="C97" i="4"/>
  <c r="C96" i="4"/>
  <c r="G96" i="4" s="1"/>
  <c r="C95" i="4"/>
  <c r="G95" i="4" s="1"/>
  <c r="C94" i="4"/>
  <c r="C93" i="4"/>
  <c r="C92" i="4"/>
  <c r="C91" i="4"/>
  <c r="C90" i="4"/>
  <c r="C89" i="4"/>
  <c r="C86" i="4"/>
  <c r="C85" i="4"/>
  <c r="C84" i="4"/>
  <c r="C83" i="4"/>
  <c r="C82" i="4"/>
  <c r="G82" i="4" s="1"/>
  <c r="C81" i="4"/>
  <c r="G81" i="4" s="1"/>
  <c r="B62" i="4"/>
  <c r="A62" i="4"/>
  <c r="C61" i="4"/>
  <c r="C60" i="4"/>
  <c r="G60" i="4" s="1"/>
  <c r="G59" i="4"/>
  <c r="C59" i="4"/>
  <c r="C58" i="4"/>
  <c r="C57" i="4"/>
  <c r="C56" i="4"/>
  <c r="C55" i="4"/>
  <c r="C54" i="4"/>
  <c r="C53" i="4"/>
  <c r="C50" i="4"/>
  <c r="C49" i="4"/>
  <c r="C48" i="4"/>
  <c r="C47" i="4"/>
  <c r="C46" i="4"/>
  <c r="G46" i="4" s="1"/>
  <c r="C45" i="4"/>
  <c r="G45" i="4" s="1"/>
  <c r="B62" i="3"/>
  <c r="A62" i="3"/>
  <c r="C61" i="3"/>
  <c r="C60" i="3"/>
  <c r="G60" i="3" s="1"/>
  <c r="C59" i="3"/>
  <c r="G59" i="3" s="1"/>
  <c r="C58" i="3"/>
  <c r="C57" i="3"/>
  <c r="C56" i="3"/>
  <c r="C55" i="3"/>
  <c r="C54" i="3"/>
  <c r="C53" i="3"/>
  <c r="C50" i="3"/>
  <c r="C49" i="3"/>
  <c r="C48" i="3"/>
  <c r="C47" i="3"/>
  <c r="C46" i="3"/>
  <c r="G46" i="3" s="1"/>
  <c r="C45" i="3"/>
  <c r="G45" i="3" s="1"/>
  <c r="G62" i="3" s="1"/>
  <c r="B26" i="4"/>
  <c r="A26" i="4"/>
  <c r="C25" i="4"/>
  <c r="C24" i="4"/>
  <c r="G24" i="4" s="1"/>
  <c r="C23" i="4"/>
  <c r="G23" i="4" s="1"/>
  <c r="C22" i="4"/>
  <c r="C21" i="4"/>
  <c r="C20" i="4"/>
  <c r="C19" i="4"/>
  <c r="C18" i="4"/>
  <c r="C17" i="4"/>
  <c r="C14" i="4"/>
  <c r="C13" i="4"/>
  <c r="C12" i="4"/>
  <c r="C11" i="4"/>
  <c r="C10" i="4"/>
  <c r="G10" i="4" s="1"/>
  <c r="C9" i="4"/>
  <c r="G9" i="4" s="1"/>
  <c r="B62" i="2"/>
  <c r="A62" i="2"/>
  <c r="C61" i="2"/>
  <c r="C60" i="2"/>
  <c r="G60" i="2" s="1"/>
  <c r="C59" i="2"/>
  <c r="G59" i="2" s="1"/>
  <c r="C58" i="2"/>
  <c r="C57" i="2"/>
  <c r="C56" i="2"/>
  <c r="C55" i="2"/>
  <c r="C54" i="2"/>
  <c r="C53" i="2"/>
  <c r="C50" i="2"/>
  <c r="C49" i="2"/>
  <c r="C48" i="2"/>
  <c r="C47" i="2"/>
  <c r="C46" i="2"/>
  <c r="G46" i="2" s="1"/>
  <c r="C45" i="2"/>
  <c r="B26" i="3"/>
  <c r="A26" i="3"/>
  <c r="C25" i="3"/>
  <c r="C24" i="3"/>
  <c r="G24" i="3" s="1"/>
  <c r="C23" i="3"/>
  <c r="G23" i="3" s="1"/>
  <c r="C22" i="3"/>
  <c r="C21" i="3"/>
  <c r="C20" i="3"/>
  <c r="C19" i="3"/>
  <c r="C18" i="3"/>
  <c r="C17" i="3"/>
  <c r="C14" i="3"/>
  <c r="C13" i="3"/>
  <c r="C12" i="3"/>
  <c r="C11" i="3"/>
  <c r="G10" i="3"/>
  <c r="C10" i="3"/>
  <c r="C9" i="3"/>
  <c r="B26" i="2"/>
  <c r="A26" i="2"/>
  <c r="C25" i="2"/>
  <c r="C24" i="2"/>
  <c r="G24" i="2" s="1"/>
  <c r="C23" i="2"/>
  <c r="G23" i="2" s="1"/>
  <c r="C22" i="2"/>
  <c r="C21" i="2"/>
  <c r="C20" i="2"/>
  <c r="C19" i="2"/>
  <c r="C18" i="2"/>
  <c r="C17" i="2"/>
  <c r="C14" i="2"/>
  <c r="C13" i="2"/>
  <c r="C12" i="2"/>
  <c r="C11" i="2"/>
  <c r="C10" i="2"/>
  <c r="G10" i="2" s="1"/>
  <c r="C9" i="2"/>
  <c r="G9" i="2" s="1"/>
  <c r="B26" i="1"/>
  <c r="A26" i="1"/>
  <c r="C23" i="1"/>
  <c r="G23" i="1" s="1"/>
  <c r="C22" i="1"/>
  <c r="C21" i="1"/>
  <c r="C20" i="1"/>
  <c r="C19" i="1"/>
  <c r="C18" i="1"/>
  <c r="C17" i="1"/>
  <c r="C14" i="1"/>
  <c r="C13" i="1"/>
  <c r="C12" i="1"/>
  <c r="C11" i="1"/>
  <c r="C10" i="1"/>
  <c r="G10" i="1" s="1"/>
  <c r="C9" i="1"/>
  <c r="G9" i="1" s="1"/>
  <c r="C25" i="1"/>
  <c r="G25" i="1" s="1"/>
  <c r="C24" i="1"/>
  <c r="G24" i="1" s="1"/>
  <c r="G134" i="4" l="1"/>
  <c r="G26" i="1"/>
  <c r="C134" i="4"/>
  <c r="G62" i="4"/>
  <c r="C62" i="2"/>
  <c r="C98" i="4"/>
  <c r="G98" i="4"/>
  <c r="C62" i="4"/>
  <c r="C62" i="3"/>
  <c r="C26" i="4"/>
  <c r="G26" i="4"/>
  <c r="G45" i="2"/>
  <c r="G62" i="2" s="1"/>
  <c r="C26" i="1"/>
  <c r="C26" i="3"/>
  <c r="G9" i="3"/>
  <c r="G26" i="3" s="1"/>
  <c r="G26" i="2"/>
  <c r="C26" i="2"/>
</calcChain>
</file>

<file path=xl/sharedStrings.xml><?xml version="1.0" encoding="utf-8"?>
<sst xmlns="http://schemas.openxmlformats.org/spreadsheetml/2006/main" count="350" uniqueCount="51">
  <si>
    <t xml:space="preserve">I'BN TAIMIYAH FOUNDATION ACADEMY, INC. </t>
  </si>
  <si>
    <t>Crossing Simuay, Sultan Kudarat, Maguindanao</t>
  </si>
  <si>
    <t>Name:</t>
  </si>
  <si>
    <t>ABDULADZIS,MOHAMAD ZAKIR, ALI</t>
  </si>
  <si>
    <t>Yr &amp; Sec.</t>
  </si>
  <si>
    <t>Charges</t>
  </si>
  <si>
    <t>Amount Paid</t>
  </si>
  <si>
    <t>Balance</t>
  </si>
  <si>
    <t>Date</t>
  </si>
  <si>
    <t>OR No.</t>
  </si>
  <si>
    <t>Account Title</t>
  </si>
  <si>
    <t>Breakdown</t>
  </si>
  <si>
    <t>1. Registration Fee</t>
  </si>
  <si>
    <t xml:space="preserve">  A. Forms</t>
  </si>
  <si>
    <t xml:space="preserve">  B. ID Card</t>
  </si>
  <si>
    <t xml:space="preserve">  C.Handbook</t>
  </si>
  <si>
    <t xml:space="preserve">  D.Test Paper</t>
  </si>
  <si>
    <t>2. Miscellaneous Fees</t>
  </si>
  <si>
    <t xml:space="preserve"> A.Laboratory fee</t>
  </si>
  <si>
    <t xml:space="preserve"> B. Electric fee</t>
  </si>
  <si>
    <t xml:space="preserve"> C.Library fee</t>
  </si>
  <si>
    <t xml:space="preserve"> D.Internet/ICT fee</t>
  </si>
  <si>
    <t xml:space="preserve"> E. Facilities Maintenance fee</t>
  </si>
  <si>
    <t xml:space="preserve"> F. Medical/clinic fee</t>
  </si>
  <si>
    <t>3 School Improvement fee</t>
  </si>
  <si>
    <t>4. Tuition Fee</t>
  </si>
  <si>
    <t>Total Amount to be Paid for this month</t>
  </si>
  <si>
    <r>
      <rPr>
        <b/>
        <sz val="10"/>
        <color indexed="8"/>
        <rFont val="Calibri"/>
        <family val="2"/>
      </rPr>
      <t>NOTE</t>
    </r>
    <r>
      <rPr>
        <sz val="10"/>
        <color indexed="8"/>
        <rFont val="Calibri"/>
        <family val="2"/>
      </rPr>
      <t xml:space="preserve">: </t>
    </r>
    <r>
      <rPr>
        <i/>
        <sz val="10"/>
        <color indexed="8"/>
        <rFont val="Calibri"/>
        <family val="2"/>
      </rPr>
      <t>Always present this slip upon paying your accounts</t>
    </r>
  </si>
  <si>
    <t>"N O     P E R M I T     N O    E X A M"</t>
  </si>
  <si>
    <t xml:space="preserve">           BAJUNAID S. GARAY</t>
  </si>
  <si>
    <t xml:space="preserve">                      Cashier</t>
  </si>
  <si>
    <t xml:space="preserve"> </t>
  </si>
  <si>
    <t>K.D-MORNING/AFTERNON</t>
  </si>
  <si>
    <t>5. ACTIVITY FEE</t>
  </si>
  <si>
    <r>
      <t xml:space="preserve">7. </t>
    </r>
    <r>
      <rPr>
        <b/>
        <sz val="10"/>
        <color indexed="8"/>
        <rFont val="Calibri"/>
        <family val="2"/>
      </rPr>
      <t>Graduation Fee</t>
    </r>
  </si>
  <si>
    <r>
      <t xml:space="preserve">6. </t>
    </r>
    <r>
      <rPr>
        <b/>
        <sz val="10"/>
        <color indexed="8"/>
        <rFont val="Calibri"/>
        <family val="2"/>
      </rPr>
      <t>HOUSE REG. Fee</t>
    </r>
  </si>
  <si>
    <t>OFFICIAL STATEMENT OF ACCOUNTS S.Y. 2026-2027</t>
  </si>
  <si>
    <t>For the month of: JUNE-JULY 2026</t>
  </si>
  <si>
    <t>1-ABU-UBAIDA</t>
  </si>
  <si>
    <t>7. BOOKS Fee</t>
  </si>
  <si>
    <t>5. ACTIVITY Fee</t>
  </si>
  <si>
    <t>PAHIMA G. TAHIR</t>
  </si>
  <si>
    <t>Bookkeeper</t>
  </si>
  <si>
    <t>new</t>
  </si>
  <si>
    <t>IV-SALMAN</t>
  </si>
  <si>
    <t>7-ABUBAKAR</t>
  </si>
  <si>
    <t>NEW</t>
  </si>
  <si>
    <t>REGULAR OLD</t>
  </si>
  <si>
    <t>REGULAR NEW</t>
  </si>
  <si>
    <t>ESC OLD</t>
  </si>
  <si>
    <t>ESC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</si>
</sst>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7"/>
      <name val="SansSerif"/>
    </font>
    <font>
      <b/>
      <i/>
      <sz val="10"/>
      <color indexed="8"/>
      <name val="Calibri"/>
      <family val="2"/>
    </font>
    <font>
      <i/>
      <sz val="10"/>
      <color indexed="8"/>
      <name val="Calibri"/>
      <family val="2"/>
    </font>
    <font>
      <u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4" fillId="0" borderId="4" xfId="0" applyFont="1" applyBorder="1" applyAlignment="1"/>
    <xf numFmtId="43" fontId="3" fillId="0" borderId="4" xfId="1" applyFont="1" applyBorder="1" applyAlignment="1"/>
    <xf numFmtId="43" fontId="4" fillId="0" borderId="4" xfId="1" applyFont="1" applyBorder="1" applyAlignment="1"/>
    <xf numFmtId="43" fontId="3" fillId="0" borderId="4" xfId="0" applyNumberFormat="1" applyFont="1" applyBorder="1" applyAlignment="1"/>
    <xf numFmtId="0" fontId="4" fillId="0" borderId="4" xfId="0" applyFont="1" applyBorder="1" applyAlignment="1">
      <alignment horizontal="left"/>
    </xf>
    <xf numFmtId="9" fontId="4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/>
    <xf numFmtId="0" fontId="3" fillId="0" borderId="3" xfId="0" applyFont="1" applyBorder="1" applyAlignment="1"/>
    <xf numFmtId="43" fontId="6" fillId="0" borderId="4" xfId="0" applyNumberFormat="1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5" xfId="0" applyFont="1" applyBorder="1" applyAlignment="1"/>
    <xf numFmtId="0" fontId="4" fillId="0" borderId="10" xfId="0" applyFont="1" applyBorder="1" applyAlignment="1"/>
    <xf numFmtId="0" fontId="4" fillId="0" borderId="0" xfId="0" applyFont="1" applyBorder="1" applyAlignment="1"/>
    <xf numFmtId="0" fontId="4" fillId="0" borderId="11" xfId="0" applyFont="1" applyBorder="1" applyAlignment="1"/>
    <xf numFmtId="0" fontId="3" fillId="0" borderId="0" xfId="0" applyFont="1" applyBorder="1" applyAlignment="1"/>
    <xf numFmtId="0" fontId="4" fillId="0" borderId="13" xfId="0" applyFont="1" applyBorder="1" applyAlignment="1"/>
    <xf numFmtId="0" fontId="7" fillId="0" borderId="13" xfId="0" applyFont="1" applyBorder="1" applyAlignment="1"/>
    <xf numFmtId="0" fontId="4" fillId="0" borderId="14" xfId="0" applyFont="1" applyBorder="1" applyAlignment="1"/>
    <xf numFmtId="43" fontId="4" fillId="0" borderId="4" xfId="0" applyNumberFormat="1" applyFont="1" applyBorder="1" applyAlignment="1"/>
    <xf numFmtId="0" fontId="2" fillId="0" borderId="0" xfId="0" applyFont="1"/>
    <xf numFmtId="0" fontId="8" fillId="0" borderId="0" xfId="0" applyFont="1" applyAlignment="1"/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8" workbookViewId="0">
      <selection activeCell="G26" sqref="G26"/>
    </sheetView>
  </sheetViews>
  <sheetFormatPr defaultRowHeight="15" x14ac:dyDescent="0.25"/>
  <cols>
    <col min="1" max="1" width="9" customWidth="1"/>
    <col min="2" max="2" width="10.140625" customWidth="1"/>
    <col min="3" max="3" width="9.140625" customWidth="1"/>
    <col min="4" max="4" width="7.140625" customWidth="1"/>
    <col min="5" max="5" width="7.7109375" customWidth="1"/>
    <col min="6" max="6" width="21.85546875" customWidth="1"/>
    <col min="7" max="7" width="9.5703125" bestFit="1" customWidth="1"/>
  </cols>
  <sheetData>
    <row r="1" spans="1:17" x14ac:dyDescent="0.25">
      <c r="A1" s="33" t="s">
        <v>0</v>
      </c>
      <c r="B1" s="33"/>
      <c r="C1" s="33"/>
      <c r="D1" s="33"/>
      <c r="E1" s="33"/>
      <c r="F1" s="33"/>
      <c r="G1" s="33"/>
      <c r="Q1" t="s">
        <v>31</v>
      </c>
    </row>
    <row r="2" spans="1:17" x14ac:dyDescent="0.25">
      <c r="A2" s="34" t="s">
        <v>1</v>
      </c>
      <c r="B2" s="34"/>
      <c r="C2" s="34"/>
      <c r="D2" s="34"/>
      <c r="E2" s="34"/>
      <c r="F2" s="34"/>
      <c r="G2" s="34"/>
    </row>
    <row r="3" spans="1:17" x14ac:dyDescent="0.25">
      <c r="A3" s="33" t="s">
        <v>36</v>
      </c>
      <c r="B3" s="33"/>
      <c r="C3" s="33"/>
      <c r="D3" s="33"/>
      <c r="E3" s="33"/>
      <c r="F3" s="33"/>
      <c r="G3" s="33"/>
    </row>
    <row r="4" spans="1:17" x14ac:dyDescent="0.25">
      <c r="A4" s="33" t="s">
        <v>37</v>
      </c>
      <c r="B4" s="33"/>
      <c r="C4" s="33"/>
      <c r="D4" s="33"/>
      <c r="E4" s="33"/>
      <c r="F4" s="33"/>
      <c r="G4" s="33"/>
    </row>
    <row r="5" spans="1:17" x14ac:dyDescent="0.25">
      <c r="A5" s="1"/>
      <c r="B5" s="1"/>
      <c r="C5" s="1"/>
      <c r="D5" s="1"/>
      <c r="E5" s="1"/>
      <c r="F5" s="1"/>
      <c r="G5" s="1"/>
    </row>
    <row r="6" spans="1:17" x14ac:dyDescent="0.25">
      <c r="A6" s="1" t="s">
        <v>2</v>
      </c>
      <c r="B6" s="35" t="s">
        <v>3</v>
      </c>
      <c r="C6" s="36"/>
      <c r="D6" s="36"/>
      <c r="E6" s="37"/>
      <c r="F6" s="1"/>
      <c r="G6" s="1"/>
    </row>
    <row r="7" spans="1:17" x14ac:dyDescent="0.25">
      <c r="A7" s="1" t="s">
        <v>4</v>
      </c>
      <c r="B7" s="1" t="s">
        <v>32</v>
      </c>
      <c r="C7" s="1"/>
      <c r="D7" s="1"/>
      <c r="E7" s="1"/>
      <c r="F7" s="1"/>
      <c r="G7" s="1"/>
    </row>
    <row r="8" spans="1:17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17" x14ac:dyDescent="0.25">
      <c r="A9" s="5">
        <v>1050</v>
      </c>
      <c r="B9" s="6">
        <v>1050</v>
      </c>
      <c r="C9" s="6">
        <f>A9-B9</f>
        <v>0</v>
      </c>
      <c r="D9" s="4"/>
      <c r="E9" s="4"/>
      <c r="F9" s="3" t="s">
        <v>12</v>
      </c>
      <c r="G9" s="25">
        <f>C9</f>
        <v>0</v>
      </c>
    </row>
    <row r="10" spans="1:17" x14ac:dyDescent="0.25">
      <c r="A10" s="7">
        <v>0</v>
      </c>
      <c r="B10" s="6">
        <v>0</v>
      </c>
      <c r="C10" s="6">
        <f t="shared" ref="C10:C14" si="0">A10-B10</f>
        <v>0</v>
      </c>
      <c r="D10" s="4"/>
      <c r="E10" s="4"/>
      <c r="F10" s="4" t="s">
        <v>13</v>
      </c>
      <c r="G10" s="6">
        <f>C10</f>
        <v>0</v>
      </c>
    </row>
    <row r="11" spans="1:17" x14ac:dyDescent="0.25">
      <c r="A11" s="6">
        <v>0</v>
      </c>
      <c r="B11" s="6"/>
      <c r="C11" s="6">
        <f t="shared" si="0"/>
        <v>0</v>
      </c>
      <c r="D11" s="4"/>
      <c r="E11" s="4"/>
      <c r="F11" s="8" t="s">
        <v>14</v>
      </c>
      <c r="G11" s="6">
        <v>0</v>
      </c>
    </row>
    <row r="12" spans="1:17" x14ac:dyDescent="0.25">
      <c r="A12" s="6">
        <v>0</v>
      </c>
      <c r="B12" s="6"/>
      <c r="C12" s="6">
        <f t="shared" si="0"/>
        <v>0</v>
      </c>
      <c r="D12" s="4"/>
      <c r="E12" s="4"/>
      <c r="F12" s="4" t="s">
        <v>15</v>
      </c>
      <c r="G12" s="6"/>
    </row>
    <row r="13" spans="1:17" x14ac:dyDescent="0.25">
      <c r="A13" s="6">
        <v>0</v>
      </c>
      <c r="B13" s="6"/>
      <c r="C13" s="6">
        <f t="shared" si="0"/>
        <v>0</v>
      </c>
      <c r="D13" s="4"/>
      <c r="E13" s="4"/>
      <c r="F13" s="4" t="s">
        <v>16</v>
      </c>
      <c r="G13" s="6"/>
    </row>
    <row r="14" spans="1:17" x14ac:dyDescent="0.25">
      <c r="A14" s="6">
        <v>750</v>
      </c>
      <c r="B14" s="6">
        <v>0</v>
      </c>
      <c r="C14" s="6">
        <f t="shared" si="0"/>
        <v>750</v>
      </c>
      <c r="D14" s="4"/>
      <c r="E14" s="4"/>
      <c r="F14" s="3" t="s">
        <v>17</v>
      </c>
      <c r="G14" s="6">
        <v>75</v>
      </c>
    </row>
    <row r="15" spans="1:17" x14ac:dyDescent="0.25">
      <c r="A15" s="6"/>
      <c r="B15" s="6"/>
      <c r="C15" s="6"/>
      <c r="D15" s="4"/>
      <c r="E15" s="4"/>
      <c r="F15" s="4" t="s">
        <v>18</v>
      </c>
      <c r="G15" s="6">
        <v>0</v>
      </c>
    </row>
    <row r="16" spans="1:17" x14ac:dyDescent="0.25">
      <c r="A16" s="6"/>
      <c r="B16" s="6"/>
      <c r="C16" s="6"/>
      <c r="D16" s="4"/>
      <c r="E16" s="4"/>
      <c r="F16" s="4" t="s">
        <v>19</v>
      </c>
      <c r="G16" s="6">
        <v>0</v>
      </c>
    </row>
    <row r="17" spans="1:7" x14ac:dyDescent="0.25">
      <c r="A17" s="6">
        <v>0</v>
      </c>
      <c r="B17" s="6"/>
      <c r="C17" s="6">
        <f t="shared" ref="C17:C23" si="1">A17-B17</f>
        <v>0</v>
      </c>
      <c r="D17" s="4"/>
      <c r="E17" s="4"/>
      <c r="F17" s="4" t="s">
        <v>20</v>
      </c>
      <c r="G17" s="6">
        <v>0</v>
      </c>
    </row>
    <row r="18" spans="1:7" x14ac:dyDescent="0.25">
      <c r="A18" s="6">
        <v>0</v>
      </c>
      <c r="B18" s="6"/>
      <c r="C18" s="6">
        <f t="shared" si="1"/>
        <v>0</v>
      </c>
      <c r="D18" s="4"/>
      <c r="E18" s="4"/>
      <c r="F18" s="4" t="s">
        <v>21</v>
      </c>
      <c r="G18" s="6">
        <v>0</v>
      </c>
    </row>
    <row r="19" spans="1:7" x14ac:dyDescent="0.25">
      <c r="A19" s="5">
        <v>0</v>
      </c>
      <c r="B19" s="6">
        <v>0</v>
      </c>
      <c r="C19" s="6">
        <f t="shared" si="1"/>
        <v>0</v>
      </c>
      <c r="D19" s="4"/>
      <c r="E19" s="4"/>
      <c r="F19" s="4" t="s">
        <v>22</v>
      </c>
      <c r="G19" s="6">
        <v>0</v>
      </c>
    </row>
    <row r="20" spans="1:7" x14ac:dyDescent="0.25">
      <c r="A20" s="5">
        <v>0</v>
      </c>
      <c r="B20" s="6">
        <v>0</v>
      </c>
      <c r="C20" s="6">
        <f t="shared" si="1"/>
        <v>0</v>
      </c>
      <c r="D20" s="4"/>
      <c r="E20" s="4"/>
      <c r="F20" s="4" t="s">
        <v>23</v>
      </c>
      <c r="G20" s="6">
        <v>0</v>
      </c>
    </row>
    <row r="21" spans="1:7" x14ac:dyDescent="0.25">
      <c r="A21" s="5">
        <v>500</v>
      </c>
      <c r="B21" s="6">
        <v>0</v>
      </c>
      <c r="C21" s="6">
        <f t="shared" si="1"/>
        <v>500</v>
      </c>
      <c r="D21" s="4"/>
      <c r="E21" s="4"/>
      <c r="F21" s="3" t="s">
        <v>24</v>
      </c>
      <c r="G21" s="6">
        <v>50</v>
      </c>
    </row>
    <row r="22" spans="1:7" x14ac:dyDescent="0.25">
      <c r="A22" s="5">
        <v>6000</v>
      </c>
      <c r="B22" s="6">
        <v>0</v>
      </c>
      <c r="C22" s="6">
        <f t="shared" si="1"/>
        <v>6000</v>
      </c>
      <c r="D22" s="9"/>
      <c r="E22" s="10"/>
      <c r="F22" s="3" t="s">
        <v>25</v>
      </c>
      <c r="G22" s="6">
        <v>600</v>
      </c>
    </row>
    <row r="23" spans="1:7" x14ac:dyDescent="0.25">
      <c r="A23" s="5">
        <v>420</v>
      </c>
      <c r="B23" s="6">
        <v>420</v>
      </c>
      <c r="C23" s="6">
        <f t="shared" si="1"/>
        <v>0</v>
      </c>
      <c r="D23" s="9"/>
      <c r="E23" s="11"/>
      <c r="F23" s="13" t="s">
        <v>33</v>
      </c>
      <c r="G23" s="6">
        <f>C23</f>
        <v>0</v>
      </c>
    </row>
    <row r="24" spans="1:7" x14ac:dyDescent="0.25">
      <c r="A24" s="5">
        <v>250</v>
      </c>
      <c r="B24" s="6">
        <v>250</v>
      </c>
      <c r="C24" s="6">
        <f t="shared" ref="C24:C25" si="2">A24-B24</f>
        <v>0</v>
      </c>
      <c r="D24" s="4"/>
      <c r="E24" s="12"/>
      <c r="F24" s="4" t="s">
        <v>35</v>
      </c>
      <c r="G24" s="6">
        <f>C24</f>
        <v>0</v>
      </c>
    </row>
    <row r="25" spans="1:7" x14ac:dyDescent="0.25">
      <c r="A25" s="5">
        <v>0</v>
      </c>
      <c r="B25" s="6">
        <v>0</v>
      </c>
      <c r="C25" s="6">
        <f t="shared" si="2"/>
        <v>0</v>
      </c>
      <c r="D25" s="4"/>
      <c r="E25" s="4"/>
      <c r="F25" s="4" t="s">
        <v>34</v>
      </c>
      <c r="G25" s="6">
        <f>C25</f>
        <v>0</v>
      </c>
    </row>
    <row r="26" spans="1:7" x14ac:dyDescent="0.25">
      <c r="A26" s="5">
        <f>A9+A14+A21+A22+A24+A23+A25</f>
        <v>8970</v>
      </c>
      <c r="B26" s="6">
        <f>B9+B14+B21+B22+B23+B24+B25</f>
        <v>1720</v>
      </c>
      <c r="C26" s="6">
        <f>C9+C21+C22+C14+C23+C24+C25</f>
        <v>7250</v>
      </c>
      <c r="D26" s="38" t="s">
        <v>26</v>
      </c>
      <c r="E26" s="39"/>
      <c r="F26" s="40"/>
      <c r="G26" s="14">
        <f>G9+G14+G21+G22+G23+G24+G25</f>
        <v>725</v>
      </c>
    </row>
    <row r="27" spans="1:7" x14ac:dyDescent="0.25">
      <c r="A27" s="15"/>
      <c r="B27" s="16"/>
      <c r="C27" s="16"/>
      <c r="D27" s="16"/>
      <c r="E27" s="16"/>
      <c r="F27" s="16"/>
      <c r="G27" s="17"/>
    </row>
    <row r="28" spans="1:7" x14ac:dyDescent="0.25">
      <c r="A28" s="18" t="s">
        <v>27</v>
      </c>
      <c r="B28" s="19"/>
      <c r="C28" s="19"/>
      <c r="D28" s="19"/>
      <c r="E28" s="19"/>
      <c r="F28" s="19"/>
      <c r="G28" s="20"/>
    </row>
    <row r="29" spans="1:7" x14ac:dyDescent="0.25">
      <c r="A29" s="18"/>
      <c r="B29" s="19"/>
      <c r="C29" s="19"/>
      <c r="D29" s="19"/>
      <c r="E29" s="19"/>
      <c r="F29" s="19"/>
      <c r="G29" s="20"/>
    </row>
    <row r="30" spans="1:7" x14ac:dyDescent="0.25">
      <c r="A30" s="28" t="s">
        <v>28</v>
      </c>
      <c r="B30" s="29"/>
      <c r="C30" s="29"/>
      <c r="D30" s="29"/>
      <c r="E30" s="29"/>
      <c r="F30" s="29"/>
      <c r="G30" s="30"/>
    </row>
    <row r="31" spans="1:7" x14ac:dyDescent="0.25">
      <c r="A31" s="18"/>
      <c r="B31" s="19"/>
      <c r="C31" s="19"/>
      <c r="D31" s="19"/>
      <c r="E31" s="19"/>
      <c r="F31" s="19"/>
      <c r="G31" s="20"/>
    </row>
    <row r="32" spans="1:7" x14ac:dyDescent="0.25">
      <c r="A32" s="28" t="s">
        <v>41</v>
      </c>
      <c r="B32" s="29"/>
      <c r="C32" s="19"/>
      <c r="D32" s="19"/>
      <c r="E32" s="19"/>
      <c r="F32" s="21" t="s">
        <v>29</v>
      </c>
      <c r="G32" s="20"/>
    </row>
    <row r="33" spans="1:7" x14ac:dyDescent="0.25">
      <c r="A33" s="31" t="s">
        <v>42</v>
      </c>
      <c r="B33" s="32"/>
      <c r="C33" s="22"/>
      <c r="D33" s="22"/>
      <c r="E33" s="22"/>
      <c r="F33" s="23" t="s">
        <v>30</v>
      </c>
      <c r="G33" s="24"/>
    </row>
  </sheetData>
  <mergeCells count="9">
    <mergeCell ref="A30:G30"/>
    <mergeCell ref="A32:B32"/>
    <mergeCell ref="A33:B33"/>
    <mergeCell ref="A1:G1"/>
    <mergeCell ref="A2:G2"/>
    <mergeCell ref="A3:G3"/>
    <mergeCell ref="A4:G4"/>
    <mergeCell ref="B6:E6"/>
    <mergeCell ref="D26:F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B34" sqref="B34"/>
    </sheetView>
  </sheetViews>
  <sheetFormatPr defaultRowHeight="15" x14ac:dyDescent="0.25"/>
  <cols>
    <col min="1" max="1" width="10.42578125" customWidth="1"/>
    <col min="2" max="2" width="10.85546875" customWidth="1"/>
    <col min="3" max="3" width="9.7109375" customWidth="1"/>
    <col min="6" max="6" width="18.42578125" customWidth="1"/>
    <col min="7" max="7" width="14.5703125" customWidth="1"/>
  </cols>
  <sheetData>
    <row r="1" spans="1:7" x14ac:dyDescent="0.25">
      <c r="A1" s="33" t="s">
        <v>0</v>
      </c>
      <c r="B1" s="33"/>
      <c r="C1" s="33"/>
      <c r="D1" s="33"/>
      <c r="E1" s="33"/>
      <c r="F1" s="33"/>
      <c r="G1" s="33"/>
    </row>
    <row r="2" spans="1:7" x14ac:dyDescent="0.25">
      <c r="A2" s="34" t="s">
        <v>1</v>
      </c>
      <c r="B2" s="34"/>
      <c r="C2" s="34"/>
      <c r="D2" s="34"/>
      <c r="E2" s="34"/>
      <c r="F2" s="34"/>
      <c r="G2" s="34"/>
    </row>
    <row r="3" spans="1:7" x14ac:dyDescent="0.25">
      <c r="A3" s="33" t="s">
        <v>36</v>
      </c>
      <c r="B3" s="33"/>
      <c r="C3" s="33"/>
      <c r="D3" s="33"/>
      <c r="E3" s="33"/>
      <c r="F3" s="33"/>
      <c r="G3" s="33"/>
    </row>
    <row r="4" spans="1:7" x14ac:dyDescent="0.25">
      <c r="A4" s="33" t="s">
        <v>37</v>
      </c>
      <c r="B4" s="33"/>
      <c r="C4" s="33"/>
      <c r="D4" s="33"/>
      <c r="E4" s="33"/>
      <c r="F4" s="33"/>
      <c r="G4" s="33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 t="s">
        <v>2</v>
      </c>
      <c r="B6" s="35"/>
      <c r="C6" s="36"/>
      <c r="D6" s="36"/>
      <c r="E6" s="37"/>
      <c r="F6" s="1"/>
      <c r="G6" s="1"/>
    </row>
    <row r="7" spans="1:7" x14ac:dyDescent="0.25">
      <c r="A7" s="1" t="s">
        <v>4</v>
      </c>
      <c r="B7" s="1" t="s">
        <v>38</v>
      </c>
      <c r="C7" s="1"/>
      <c r="D7" s="1"/>
      <c r="E7" s="1"/>
      <c r="F7" s="1"/>
      <c r="G7" s="1"/>
    </row>
    <row r="8" spans="1:7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25">
      <c r="A9" s="5">
        <v>650</v>
      </c>
      <c r="B9" s="6">
        <v>650</v>
      </c>
      <c r="C9" s="6">
        <f>A9-B9</f>
        <v>0</v>
      </c>
      <c r="D9" s="4"/>
      <c r="E9" s="4"/>
      <c r="F9" s="3" t="s">
        <v>12</v>
      </c>
      <c r="G9" s="25">
        <f>C9</f>
        <v>0</v>
      </c>
    </row>
    <row r="10" spans="1:7" x14ac:dyDescent="0.25">
      <c r="A10" s="7">
        <v>0</v>
      </c>
      <c r="B10" s="6">
        <v>0</v>
      </c>
      <c r="C10" s="6">
        <f t="shared" ref="C10:C14" si="0">A10-B10</f>
        <v>0</v>
      </c>
      <c r="D10" s="4"/>
      <c r="E10" s="4"/>
      <c r="F10" s="4" t="s">
        <v>13</v>
      </c>
      <c r="G10" s="6">
        <f>C10</f>
        <v>0</v>
      </c>
    </row>
    <row r="11" spans="1:7" x14ac:dyDescent="0.25">
      <c r="A11" s="6">
        <v>0</v>
      </c>
      <c r="B11" s="6"/>
      <c r="C11" s="6">
        <f t="shared" si="0"/>
        <v>0</v>
      </c>
      <c r="D11" s="4"/>
      <c r="E11" s="4"/>
      <c r="F11" s="8" t="s">
        <v>14</v>
      </c>
      <c r="G11" s="6">
        <v>0</v>
      </c>
    </row>
    <row r="12" spans="1:7" x14ac:dyDescent="0.25">
      <c r="A12" s="6">
        <v>0</v>
      </c>
      <c r="B12" s="6"/>
      <c r="C12" s="6">
        <f t="shared" si="0"/>
        <v>0</v>
      </c>
      <c r="D12" s="4"/>
      <c r="E12" s="4"/>
      <c r="F12" s="4" t="s">
        <v>15</v>
      </c>
      <c r="G12" s="6"/>
    </row>
    <row r="13" spans="1:7" x14ac:dyDescent="0.25">
      <c r="A13" s="6">
        <v>0</v>
      </c>
      <c r="B13" s="6"/>
      <c r="C13" s="6">
        <f t="shared" si="0"/>
        <v>0</v>
      </c>
      <c r="D13" s="4"/>
      <c r="E13" s="4"/>
      <c r="F13" s="4" t="s">
        <v>16</v>
      </c>
      <c r="G13" s="6"/>
    </row>
    <row r="14" spans="1:7" x14ac:dyDescent="0.25">
      <c r="A14" s="6">
        <v>750</v>
      </c>
      <c r="B14" s="6">
        <v>0</v>
      </c>
      <c r="C14" s="6">
        <f t="shared" si="0"/>
        <v>750</v>
      </c>
      <c r="D14" s="4"/>
      <c r="E14" s="4"/>
      <c r="F14" s="3" t="s">
        <v>17</v>
      </c>
      <c r="G14" s="6">
        <v>75</v>
      </c>
    </row>
    <row r="15" spans="1:7" x14ac:dyDescent="0.25">
      <c r="A15" s="6"/>
      <c r="B15" s="6"/>
      <c r="C15" s="6"/>
      <c r="D15" s="4"/>
      <c r="E15" s="4"/>
      <c r="F15" s="4" t="s">
        <v>18</v>
      </c>
      <c r="G15" s="6">
        <v>0</v>
      </c>
    </row>
    <row r="16" spans="1:7" x14ac:dyDescent="0.25">
      <c r="A16" s="6"/>
      <c r="B16" s="6"/>
      <c r="C16" s="6"/>
      <c r="D16" s="4"/>
      <c r="E16" s="4"/>
      <c r="F16" s="4" t="s">
        <v>19</v>
      </c>
      <c r="G16" s="6">
        <v>0</v>
      </c>
    </row>
    <row r="17" spans="1:7" x14ac:dyDescent="0.25">
      <c r="A17" s="6">
        <v>0</v>
      </c>
      <c r="B17" s="6"/>
      <c r="C17" s="6">
        <f t="shared" ref="C17:C25" si="1">A17-B17</f>
        <v>0</v>
      </c>
      <c r="D17" s="4"/>
      <c r="E17" s="4"/>
      <c r="F17" s="4" t="s">
        <v>20</v>
      </c>
      <c r="G17" s="6">
        <v>0</v>
      </c>
    </row>
    <row r="18" spans="1:7" x14ac:dyDescent="0.25">
      <c r="A18" s="6">
        <v>0</v>
      </c>
      <c r="B18" s="6"/>
      <c r="C18" s="6">
        <f t="shared" si="1"/>
        <v>0</v>
      </c>
      <c r="D18" s="4"/>
      <c r="E18" s="4"/>
      <c r="F18" s="4" t="s">
        <v>21</v>
      </c>
      <c r="G18" s="6">
        <v>0</v>
      </c>
    </row>
    <row r="19" spans="1:7" x14ac:dyDescent="0.25">
      <c r="A19" s="5">
        <v>0</v>
      </c>
      <c r="B19" s="6">
        <v>0</v>
      </c>
      <c r="C19" s="6">
        <f t="shared" si="1"/>
        <v>0</v>
      </c>
      <c r="D19" s="4"/>
      <c r="E19" s="4"/>
      <c r="F19" s="4" t="s">
        <v>22</v>
      </c>
      <c r="G19" s="6">
        <v>0</v>
      </c>
    </row>
    <row r="20" spans="1:7" x14ac:dyDescent="0.25">
      <c r="A20" s="5">
        <v>0</v>
      </c>
      <c r="B20" s="6">
        <v>0</v>
      </c>
      <c r="C20" s="6">
        <f t="shared" si="1"/>
        <v>0</v>
      </c>
      <c r="D20" s="4"/>
      <c r="E20" s="4"/>
      <c r="F20" s="4" t="s">
        <v>23</v>
      </c>
      <c r="G20" s="6">
        <v>0</v>
      </c>
    </row>
    <row r="21" spans="1:7" x14ac:dyDescent="0.25">
      <c r="A21" s="5">
        <v>500</v>
      </c>
      <c r="B21" s="6">
        <v>0</v>
      </c>
      <c r="C21" s="6">
        <f t="shared" si="1"/>
        <v>500</v>
      </c>
      <c r="D21" s="4"/>
      <c r="E21" s="4"/>
      <c r="F21" s="3" t="s">
        <v>24</v>
      </c>
      <c r="G21" s="6">
        <v>50</v>
      </c>
    </row>
    <row r="22" spans="1:7" x14ac:dyDescent="0.25">
      <c r="A22" s="5">
        <v>5050</v>
      </c>
      <c r="B22" s="6">
        <v>0</v>
      </c>
      <c r="C22" s="6">
        <f t="shared" si="1"/>
        <v>5050</v>
      </c>
      <c r="D22" s="9"/>
      <c r="E22" s="10"/>
      <c r="F22" s="3" t="s">
        <v>25</v>
      </c>
      <c r="G22" s="6">
        <v>505</v>
      </c>
    </row>
    <row r="23" spans="1:7" x14ac:dyDescent="0.25">
      <c r="A23" s="5">
        <v>420</v>
      </c>
      <c r="B23" s="6">
        <v>420</v>
      </c>
      <c r="C23" s="6">
        <f t="shared" si="1"/>
        <v>0</v>
      </c>
      <c r="D23" s="9"/>
      <c r="E23" s="11"/>
      <c r="F23" s="13" t="s">
        <v>40</v>
      </c>
      <c r="G23" s="6">
        <f>C23</f>
        <v>0</v>
      </c>
    </row>
    <row r="24" spans="1:7" x14ac:dyDescent="0.25">
      <c r="A24" s="5">
        <v>250</v>
      </c>
      <c r="B24" s="6">
        <v>250</v>
      </c>
      <c r="C24" s="6">
        <f t="shared" si="1"/>
        <v>0</v>
      </c>
      <c r="D24" s="4"/>
      <c r="E24" s="12"/>
      <c r="F24" s="4" t="s">
        <v>35</v>
      </c>
      <c r="G24" s="6">
        <f>C24</f>
        <v>0</v>
      </c>
    </row>
    <row r="25" spans="1:7" x14ac:dyDescent="0.25">
      <c r="A25" s="5">
        <v>5235</v>
      </c>
      <c r="B25" s="6">
        <v>2617.5</v>
      </c>
      <c r="C25" s="6">
        <f t="shared" si="1"/>
        <v>2617.5</v>
      </c>
      <c r="D25" s="4"/>
      <c r="E25" s="4"/>
      <c r="F25" s="3" t="s">
        <v>39</v>
      </c>
      <c r="G25" s="6">
        <v>261.75</v>
      </c>
    </row>
    <row r="26" spans="1:7" x14ac:dyDescent="0.25">
      <c r="A26" s="5">
        <f>A9+A14+A21+A22+A24+A23+A25</f>
        <v>12855</v>
      </c>
      <c r="B26" s="6">
        <f>B9+B14+B21+B22+B23+B24+B25</f>
        <v>3937.5</v>
      </c>
      <c r="C26" s="6">
        <f>C9+C21+C22+C14+C23+C24+C25</f>
        <v>8917.5</v>
      </c>
      <c r="D26" s="38" t="s">
        <v>26</v>
      </c>
      <c r="E26" s="39"/>
      <c r="F26" s="40"/>
      <c r="G26" s="14">
        <f>G9+G14+G21+G22+G23+G24+G25</f>
        <v>891.75</v>
      </c>
    </row>
    <row r="27" spans="1:7" x14ac:dyDescent="0.25">
      <c r="A27" s="15"/>
      <c r="B27" s="16"/>
      <c r="C27" s="16"/>
      <c r="D27" s="16"/>
      <c r="E27" s="16"/>
      <c r="F27" s="16"/>
      <c r="G27" s="17"/>
    </row>
    <row r="28" spans="1:7" x14ac:dyDescent="0.25">
      <c r="A28" s="18" t="s">
        <v>27</v>
      </c>
      <c r="B28" s="19"/>
      <c r="C28" s="19"/>
      <c r="D28" s="19"/>
      <c r="E28" s="19"/>
      <c r="F28" s="19"/>
      <c r="G28" s="20"/>
    </row>
    <row r="29" spans="1:7" x14ac:dyDescent="0.25">
      <c r="A29" s="18"/>
      <c r="B29" s="19"/>
      <c r="C29" s="19"/>
      <c r="D29" s="19"/>
      <c r="E29" s="19"/>
      <c r="F29" s="19"/>
      <c r="G29" s="20"/>
    </row>
    <row r="30" spans="1:7" x14ac:dyDescent="0.25">
      <c r="A30" s="28" t="s">
        <v>28</v>
      </c>
      <c r="B30" s="29"/>
      <c r="C30" s="29"/>
      <c r="D30" s="29"/>
      <c r="E30" s="29"/>
      <c r="F30" s="29"/>
      <c r="G30" s="30"/>
    </row>
    <row r="31" spans="1:7" x14ac:dyDescent="0.25">
      <c r="A31" s="18"/>
      <c r="B31" s="19"/>
      <c r="C31" s="19"/>
      <c r="D31" s="19"/>
      <c r="E31" s="19"/>
      <c r="F31" s="19"/>
      <c r="G31" s="20"/>
    </row>
    <row r="32" spans="1:7" x14ac:dyDescent="0.25">
      <c r="A32" s="28" t="s">
        <v>41</v>
      </c>
      <c r="B32" s="29"/>
      <c r="C32" s="19"/>
      <c r="D32" s="19"/>
      <c r="E32" s="19"/>
      <c r="F32" s="21" t="s">
        <v>29</v>
      </c>
      <c r="G32" s="20"/>
    </row>
    <row r="33" spans="1:7" x14ac:dyDescent="0.25">
      <c r="A33" s="31" t="s">
        <v>42</v>
      </c>
      <c r="B33" s="32"/>
      <c r="C33" s="22"/>
      <c r="D33" s="22"/>
      <c r="E33" s="22"/>
      <c r="F33" s="23" t="s">
        <v>30</v>
      </c>
      <c r="G33" s="24"/>
    </row>
    <row r="36" spans="1:7" x14ac:dyDescent="0.25">
      <c r="A36" s="26" t="s">
        <v>43</v>
      </c>
    </row>
    <row r="37" spans="1:7" x14ac:dyDescent="0.25">
      <c r="A37" s="33" t="s">
        <v>0</v>
      </c>
      <c r="B37" s="33"/>
      <c r="C37" s="33"/>
      <c r="D37" s="33"/>
      <c r="E37" s="33"/>
      <c r="F37" s="33"/>
      <c r="G37" s="33"/>
    </row>
    <row r="38" spans="1:7" x14ac:dyDescent="0.25">
      <c r="A38" s="34" t="s">
        <v>1</v>
      </c>
      <c r="B38" s="34"/>
      <c r="C38" s="34"/>
      <c r="D38" s="34"/>
      <c r="E38" s="34"/>
      <c r="F38" s="34"/>
      <c r="G38" s="34"/>
    </row>
    <row r="39" spans="1:7" x14ac:dyDescent="0.25">
      <c r="A39" s="33" t="s">
        <v>36</v>
      </c>
      <c r="B39" s="33"/>
      <c r="C39" s="33"/>
      <c r="D39" s="33"/>
      <c r="E39" s="33"/>
      <c r="F39" s="33"/>
      <c r="G39" s="33"/>
    </row>
    <row r="40" spans="1:7" x14ac:dyDescent="0.25">
      <c r="A40" s="33" t="s">
        <v>37</v>
      </c>
      <c r="B40" s="33"/>
      <c r="C40" s="33"/>
      <c r="D40" s="33"/>
      <c r="E40" s="33"/>
      <c r="F40" s="33"/>
      <c r="G40" s="33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 t="s">
        <v>2</v>
      </c>
      <c r="B42" s="35"/>
      <c r="C42" s="36"/>
      <c r="D42" s="36"/>
      <c r="E42" s="37"/>
      <c r="F42" s="1"/>
      <c r="G42" s="1"/>
    </row>
    <row r="43" spans="1:7" x14ac:dyDescent="0.25">
      <c r="A43" s="1" t="s">
        <v>4</v>
      </c>
      <c r="B43" s="1" t="s">
        <v>38</v>
      </c>
      <c r="C43" s="1"/>
      <c r="D43" s="1"/>
      <c r="E43" s="1"/>
      <c r="F43" s="1"/>
      <c r="G43" s="1"/>
    </row>
    <row r="44" spans="1:7" x14ac:dyDescent="0.25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</row>
    <row r="45" spans="1:7" x14ac:dyDescent="0.25">
      <c r="A45" s="5">
        <v>850</v>
      </c>
      <c r="B45" s="6">
        <v>850</v>
      </c>
      <c r="C45" s="6">
        <f>A45-B45</f>
        <v>0</v>
      </c>
      <c r="D45" s="4"/>
      <c r="E45" s="4"/>
      <c r="F45" s="3" t="s">
        <v>12</v>
      </c>
      <c r="G45" s="25">
        <f>C45</f>
        <v>0</v>
      </c>
    </row>
    <row r="46" spans="1:7" x14ac:dyDescent="0.25">
      <c r="A46" s="7">
        <v>0</v>
      </c>
      <c r="B46" s="6">
        <v>0</v>
      </c>
      <c r="C46" s="6">
        <f t="shared" ref="C46:C50" si="2">A46-B46</f>
        <v>0</v>
      </c>
      <c r="D46" s="4"/>
      <c r="E46" s="4"/>
      <c r="F46" s="4" t="s">
        <v>13</v>
      </c>
      <c r="G46" s="6">
        <f>C46</f>
        <v>0</v>
      </c>
    </row>
    <row r="47" spans="1:7" x14ac:dyDescent="0.25">
      <c r="A47" s="6">
        <v>0</v>
      </c>
      <c r="B47" s="6"/>
      <c r="C47" s="6">
        <f t="shared" si="2"/>
        <v>0</v>
      </c>
      <c r="D47" s="4"/>
      <c r="E47" s="4"/>
      <c r="F47" s="8" t="s">
        <v>14</v>
      </c>
      <c r="G47" s="6">
        <v>0</v>
      </c>
    </row>
    <row r="48" spans="1:7" x14ac:dyDescent="0.25">
      <c r="A48" s="6">
        <v>0</v>
      </c>
      <c r="B48" s="6"/>
      <c r="C48" s="6">
        <f t="shared" si="2"/>
        <v>0</v>
      </c>
      <c r="D48" s="4"/>
      <c r="E48" s="4"/>
      <c r="F48" s="4" t="s">
        <v>15</v>
      </c>
      <c r="G48" s="6"/>
    </row>
    <row r="49" spans="1:7" x14ac:dyDescent="0.25">
      <c r="A49" s="6">
        <v>0</v>
      </c>
      <c r="B49" s="6"/>
      <c r="C49" s="6">
        <f t="shared" si="2"/>
        <v>0</v>
      </c>
      <c r="D49" s="4"/>
      <c r="E49" s="4"/>
      <c r="F49" s="4" t="s">
        <v>16</v>
      </c>
      <c r="G49" s="6"/>
    </row>
    <row r="50" spans="1:7" x14ac:dyDescent="0.25">
      <c r="A50" s="6">
        <v>750</v>
      </c>
      <c r="B50" s="6">
        <v>0</v>
      </c>
      <c r="C50" s="6">
        <f t="shared" si="2"/>
        <v>750</v>
      </c>
      <c r="D50" s="4"/>
      <c r="E50" s="4"/>
      <c r="F50" s="3" t="s">
        <v>17</v>
      </c>
      <c r="G50" s="6">
        <v>75</v>
      </c>
    </row>
    <row r="51" spans="1:7" x14ac:dyDescent="0.25">
      <c r="A51" s="6"/>
      <c r="B51" s="6"/>
      <c r="C51" s="6"/>
      <c r="D51" s="4"/>
      <c r="E51" s="4"/>
      <c r="F51" s="4" t="s">
        <v>18</v>
      </c>
      <c r="G51" s="6">
        <v>0</v>
      </c>
    </row>
    <row r="52" spans="1:7" x14ac:dyDescent="0.25">
      <c r="A52" s="6"/>
      <c r="B52" s="6"/>
      <c r="C52" s="6"/>
      <c r="D52" s="4"/>
      <c r="E52" s="4"/>
      <c r="F52" s="4" t="s">
        <v>19</v>
      </c>
      <c r="G52" s="6">
        <v>0</v>
      </c>
    </row>
    <row r="53" spans="1:7" x14ac:dyDescent="0.25">
      <c r="A53" s="6">
        <v>0</v>
      </c>
      <c r="B53" s="6"/>
      <c r="C53" s="6">
        <f t="shared" ref="C53:C61" si="3">A53-B53</f>
        <v>0</v>
      </c>
      <c r="D53" s="4"/>
      <c r="E53" s="4"/>
      <c r="F53" s="4" t="s">
        <v>20</v>
      </c>
      <c r="G53" s="6">
        <v>0</v>
      </c>
    </row>
    <row r="54" spans="1:7" x14ac:dyDescent="0.25">
      <c r="A54" s="6">
        <v>0</v>
      </c>
      <c r="B54" s="6"/>
      <c r="C54" s="6">
        <f t="shared" si="3"/>
        <v>0</v>
      </c>
      <c r="D54" s="4"/>
      <c r="E54" s="4"/>
      <c r="F54" s="4" t="s">
        <v>21</v>
      </c>
      <c r="G54" s="6">
        <v>0</v>
      </c>
    </row>
    <row r="55" spans="1:7" x14ac:dyDescent="0.25">
      <c r="A55" s="5">
        <v>0</v>
      </c>
      <c r="B55" s="6">
        <v>0</v>
      </c>
      <c r="C55" s="6">
        <f t="shared" si="3"/>
        <v>0</v>
      </c>
      <c r="D55" s="4"/>
      <c r="E55" s="4"/>
      <c r="F55" s="4" t="s">
        <v>22</v>
      </c>
      <c r="G55" s="6">
        <v>0</v>
      </c>
    </row>
    <row r="56" spans="1:7" x14ac:dyDescent="0.25">
      <c r="A56" s="5">
        <v>0</v>
      </c>
      <c r="B56" s="6">
        <v>0</v>
      </c>
      <c r="C56" s="6">
        <f t="shared" si="3"/>
        <v>0</v>
      </c>
      <c r="D56" s="4"/>
      <c r="E56" s="4"/>
      <c r="F56" s="4" t="s">
        <v>23</v>
      </c>
      <c r="G56" s="6">
        <v>0</v>
      </c>
    </row>
    <row r="57" spans="1:7" x14ac:dyDescent="0.25">
      <c r="A57" s="5">
        <v>500</v>
      </c>
      <c r="B57" s="6">
        <v>0</v>
      </c>
      <c r="C57" s="6">
        <f t="shared" si="3"/>
        <v>500</v>
      </c>
      <c r="D57" s="4"/>
      <c r="E57" s="4"/>
      <c r="F57" s="3" t="s">
        <v>24</v>
      </c>
      <c r="G57" s="6">
        <v>50</v>
      </c>
    </row>
    <row r="58" spans="1:7" x14ac:dyDescent="0.25">
      <c r="A58" s="5">
        <v>5050</v>
      </c>
      <c r="B58" s="6">
        <v>0</v>
      </c>
      <c r="C58" s="6">
        <f t="shared" si="3"/>
        <v>5050</v>
      </c>
      <c r="D58" s="9"/>
      <c r="E58" s="10"/>
      <c r="F58" s="3" t="s">
        <v>25</v>
      </c>
      <c r="G58" s="6">
        <v>505</v>
      </c>
    </row>
    <row r="59" spans="1:7" x14ac:dyDescent="0.25">
      <c r="A59" s="5">
        <v>420</v>
      </c>
      <c r="B59" s="6">
        <v>420</v>
      </c>
      <c r="C59" s="6">
        <f t="shared" si="3"/>
        <v>0</v>
      </c>
      <c r="D59" s="9"/>
      <c r="E59" s="11"/>
      <c r="F59" s="13" t="s">
        <v>40</v>
      </c>
      <c r="G59" s="6">
        <f>C59</f>
        <v>0</v>
      </c>
    </row>
    <row r="60" spans="1:7" x14ac:dyDescent="0.25">
      <c r="A60" s="5">
        <v>250</v>
      </c>
      <c r="B60" s="6">
        <v>250</v>
      </c>
      <c r="C60" s="6">
        <f t="shared" si="3"/>
        <v>0</v>
      </c>
      <c r="D60" s="4"/>
      <c r="E60" s="12"/>
      <c r="F60" s="4" t="s">
        <v>35</v>
      </c>
      <c r="G60" s="6">
        <f>C60</f>
        <v>0</v>
      </c>
    </row>
    <row r="61" spans="1:7" x14ac:dyDescent="0.25">
      <c r="A61" s="5">
        <v>5235</v>
      </c>
      <c r="B61" s="6">
        <v>2617.5</v>
      </c>
      <c r="C61" s="6">
        <f t="shared" si="3"/>
        <v>2617.5</v>
      </c>
      <c r="D61" s="4"/>
      <c r="E61" s="4"/>
      <c r="F61" s="3" t="s">
        <v>39</v>
      </c>
      <c r="G61" s="6">
        <v>261.75</v>
      </c>
    </row>
    <row r="62" spans="1:7" x14ac:dyDescent="0.25">
      <c r="A62" s="5">
        <f>A45+A50+A57+A58+A60+A59+A61</f>
        <v>13055</v>
      </c>
      <c r="B62" s="6">
        <f>B45+B50+B57+B58+B59+B60+B61</f>
        <v>4137.5</v>
      </c>
      <c r="C62" s="6">
        <f>C45+C57+C58+C50+C59+C60+C61</f>
        <v>8917.5</v>
      </c>
      <c r="D62" s="38" t="s">
        <v>26</v>
      </c>
      <c r="E62" s="39"/>
      <c r="F62" s="40"/>
      <c r="G62" s="14">
        <f>G45+G50+G57+G58+G59+G60+G61</f>
        <v>891.75</v>
      </c>
    </row>
    <row r="63" spans="1:7" x14ac:dyDescent="0.25">
      <c r="A63" s="15"/>
      <c r="B63" s="16"/>
      <c r="C63" s="16"/>
      <c r="D63" s="16"/>
      <c r="E63" s="16"/>
      <c r="F63" s="16"/>
      <c r="G63" s="17"/>
    </row>
    <row r="64" spans="1:7" x14ac:dyDescent="0.25">
      <c r="A64" s="18" t="s">
        <v>27</v>
      </c>
      <c r="B64" s="19"/>
      <c r="C64" s="19"/>
      <c r="D64" s="19"/>
      <c r="E64" s="19"/>
      <c r="F64" s="19"/>
      <c r="G64" s="20"/>
    </row>
    <row r="65" spans="1:7" x14ac:dyDescent="0.25">
      <c r="A65" s="18"/>
      <c r="B65" s="19"/>
      <c r="C65" s="19"/>
      <c r="D65" s="19"/>
      <c r="E65" s="19"/>
      <c r="F65" s="19"/>
      <c r="G65" s="20"/>
    </row>
    <row r="66" spans="1:7" x14ac:dyDescent="0.25">
      <c r="A66" s="28" t="s">
        <v>28</v>
      </c>
      <c r="B66" s="29"/>
      <c r="C66" s="29"/>
      <c r="D66" s="29"/>
      <c r="E66" s="29"/>
      <c r="F66" s="29"/>
      <c r="G66" s="30"/>
    </row>
    <row r="67" spans="1:7" x14ac:dyDescent="0.25">
      <c r="A67" s="18"/>
      <c r="B67" s="19"/>
      <c r="C67" s="19"/>
      <c r="D67" s="19"/>
      <c r="E67" s="19"/>
      <c r="F67" s="19"/>
      <c r="G67" s="20"/>
    </row>
    <row r="68" spans="1:7" x14ac:dyDescent="0.25">
      <c r="A68" s="28" t="s">
        <v>41</v>
      </c>
      <c r="B68" s="29"/>
      <c r="C68" s="19"/>
      <c r="D68" s="19"/>
      <c r="E68" s="19"/>
      <c r="F68" s="21" t="s">
        <v>29</v>
      </c>
      <c r="G68" s="20"/>
    </row>
    <row r="69" spans="1:7" x14ac:dyDescent="0.25">
      <c r="A69" s="31" t="s">
        <v>42</v>
      </c>
      <c r="B69" s="32"/>
      <c r="C69" s="22"/>
      <c r="D69" s="22"/>
      <c r="E69" s="22"/>
      <c r="F69" s="23" t="s">
        <v>30</v>
      </c>
      <c r="G69" s="24"/>
    </row>
  </sheetData>
  <mergeCells count="18">
    <mergeCell ref="D26:F26"/>
    <mergeCell ref="A1:G1"/>
    <mergeCell ref="A2:G2"/>
    <mergeCell ref="A3:G3"/>
    <mergeCell ref="A4:G4"/>
    <mergeCell ref="B6:E6"/>
    <mergeCell ref="A69:B69"/>
    <mergeCell ref="A30:G30"/>
    <mergeCell ref="A32:B32"/>
    <mergeCell ref="A33:B33"/>
    <mergeCell ref="A37:G37"/>
    <mergeCell ref="A38:G38"/>
    <mergeCell ref="A39:G39"/>
    <mergeCell ref="A40:G40"/>
    <mergeCell ref="B42:E42"/>
    <mergeCell ref="D62:F62"/>
    <mergeCell ref="A66:G66"/>
    <mergeCell ref="A68:B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44" workbookViewId="0">
      <selection activeCell="G62" sqref="G62"/>
    </sheetView>
  </sheetViews>
  <sheetFormatPr defaultRowHeight="15" x14ac:dyDescent="0.25"/>
  <cols>
    <col min="1" max="1" width="11.42578125" customWidth="1"/>
    <col min="3" max="3" width="12.140625" customWidth="1"/>
    <col min="6" max="6" width="21.42578125" customWidth="1"/>
    <col min="7" max="7" width="11.28515625" customWidth="1"/>
  </cols>
  <sheetData>
    <row r="1" spans="1:7" x14ac:dyDescent="0.25">
      <c r="A1" s="33" t="s">
        <v>0</v>
      </c>
      <c r="B1" s="33"/>
      <c r="C1" s="33"/>
      <c r="D1" s="33"/>
      <c r="E1" s="33"/>
      <c r="F1" s="33"/>
      <c r="G1" s="33"/>
    </row>
    <row r="2" spans="1:7" x14ac:dyDescent="0.25">
      <c r="A2" s="34" t="s">
        <v>1</v>
      </c>
      <c r="B2" s="34"/>
      <c r="C2" s="34"/>
      <c r="D2" s="34"/>
      <c r="E2" s="34"/>
      <c r="F2" s="34"/>
      <c r="G2" s="34"/>
    </row>
    <row r="3" spans="1:7" x14ac:dyDescent="0.25">
      <c r="A3" s="33" t="s">
        <v>36</v>
      </c>
      <c r="B3" s="33"/>
      <c r="C3" s="33"/>
      <c r="D3" s="33"/>
      <c r="E3" s="33"/>
      <c r="F3" s="33"/>
      <c r="G3" s="33"/>
    </row>
    <row r="4" spans="1:7" x14ac:dyDescent="0.25">
      <c r="A4" s="33" t="s">
        <v>37</v>
      </c>
      <c r="B4" s="33"/>
      <c r="C4" s="33"/>
      <c r="D4" s="33"/>
      <c r="E4" s="33"/>
      <c r="F4" s="33"/>
      <c r="G4" s="33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 t="s">
        <v>2</v>
      </c>
      <c r="B6" s="35"/>
      <c r="C6" s="36"/>
      <c r="D6" s="36"/>
      <c r="E6" s="37"/>
      <c r="F6" s="1"/>
      <c r="G6" s="1"/>
    </row>
    <row r="7" spans="1:7" x14ac:dyDescent="0.25">
      <c r="A7" s="1" t="s">
        <v>4</v>
      </c>
      <c r="B7" s="1" t="s">
        <v>44</v>
      </c>
      <c r="C7" s="1"/>
      <c r="D7" s="1"/>
      <c r="E7" s="1"/>
      <c r="F7" s="1"/>
      <c r="G7" s="1"/>
    </row>
    <row r="8" spans="1:7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25">
      <c r="A9" s="5">
        <v>650</v>
      </c>
      <c r="B9" s="6">
        <v>650</v>
      </c>
      <c r="C9" s="6">
        <f>A9-B9</f>
        <v>0</v>
      </c>
      <c r="D9" s="4"/>
      <c r="E9" s="4"/>
      <c r="F9" s="3" t="s">
        <v>12</v>
      </c>
      <c r="G9" s="25">
        <f>C9</f>
        <v>0</v>
      </c>
    </row>
    <row r="10" spans="1:7" x14ac:dyDescent="0.25">
      <c r="A10" s="7">
        <v>0</v>
      </c>
      <c r="B10" s="6">
        <v>0</v>
      </c>
      <c r="C10" s="6">
        <f t="shared" ref="C10:C14" si="0">A10-B10</f>
        <v>0</v>
      </c>
      <c r="D10" s="4"/>
      <c r="E10" s="4"/>
      <c r="F10" s="4" t="s">
        <v>13</v>
      </c>
      <c r="G10" s="6">
        <f>C10</f>
        <v>0</v>
      </c>
    </row>
    <row r="11" spans="1:7" x14ac:dyDescent="0.25">
      <c r="A11" s="6">
        <v>0</v>
      </c>
      <c r="B11" s="6"/>
      <c r="C11" s="6">
        <f t="shared" si="0"/>
        <v>0</v>
      </c>
      <c r="D11" s="4"/>
      <c r="E11" s="4"/>
      <c r="F11" s="8" t="s">
        <v>14</v>
      </c>
      <c r="G11" s="6">
        <v>0</v>
      </c>
    </row>
    <row r="12" spans="1:7" x14ac:dyDescent="0.25">
      <c r="A12" s="6">
        <v>0</v>
      </c>
      <c r="B12" s="6"/>
      <c r="C12" s="6">
        <f t="shared" si="0"/>
        <v>0</v>
      </c>
      <c r="D12" s="4"/>
      <c r="E12" s="4"/>
      <c r="F12" s="4" t="s">
        <v>15</v>
      </c>
      <c r="G12" s="6"/>
    </row>
    <row r="13" spans="1:7" x14ac:dyDescent="0.25">
      <c r="A13" s="6">
        <v>0</v>
      </c>
      <c r="B13" s="6"/>
      <c r="C13" s="6">
        <f t="shared" si="0"/>
        <v>0</v>
      </c>
      <c r="D13" s="4"/>
      <c r="E13" s="4"/>
      <c r="F13" s="4" t="s">
        <v>16</v>
      </c>
      <c r="G13" s="6"/>
    </row>
    <row r="14" spans="1:7" x14ac:dyDescent="0.25">
      <c r="A14" s="6">
        <v>1000</v>
      </c>
      <c r="B14" s="6">
        <v>0</v>
      </c>
      <c r="C14" s="6">
        <f t="shared" si="0"/>
        <v>1000</v>
      </c>
      <c r="D14" s="4"/>
      <c r="E14" s="4"/>
      <c r="F14" s="3" t="s">
        <v>17</v>
      </c>
      <c r="G14" s="6">
        <v>100</v>
      </c>
    </row>
    <row r="15" spans="1:7" x14ac:dyDescent="0.25">
      <c r="A15" s="6"/>
      <c r="B15" s="6"/>
      <c r="C15" s="6"/>
      <c r="D15" s="4"/>
      <c r="E15" s="4"/>
      <c r="F15" s="4" t="s">
        <v>18</v>
      </c>
      <c r="G15" s="6">
        <v>0</v>
      </c>
    </row>
    <row r="16" spans="1:7" x14ac:dyDescent="0.25">
      <c r="A16" s="6"/>
      <c r="B16" s="6"/>
      <c r="C16" s="6"/>
      <c r="D16" s="4"/>
      <c r="E16" s="4"/>
      <c r="F16" s="4" t="s">
        <v>19</v>
      </c>
      <c r="G16" s="6">
        <v>0</v>
      </c>
    </row>
    <row r="17" spans="1:7" x14ac:dyDescent="0.25">
      <c r="A17" s="6">
        <v>0</v>
      </c>
      <c r="B17" s="6"/>
      <c r="C17" s="6">
        <f t="shared" ref="C17:C25" si="1">A17-B17</f>
        <v>0</v>
      </c>
      <c r="D17" s="4"/>
      <c r="E17" s="4"/>
      <c r="F17" s="4" t="s">
        <v>20</v>
      </c>
      <c r="G17" s="6">
        <v>0</v>
      </c>
    </row>
    <row r="18" spans="1:7" x14ac:dyDescent="0.25">
      <c r="A18" s="6">
        <v>0</v>
      </c>
      <c r="B18" s="6"/>
      <c r="C18" s="6">
        <f t="shared" si="1"/>
        <v>0</v>
      </c>
      <c r="D18" s="4"/>
      <c r="E18" s="4"/>
      <c r="F18" s="4" t="s">
        <v>21</v>
      </c>
      <c r="G18" s="6">
        <v>0</v>
      </c>
    </row>
    <row r="19" spans="1:7" x14ac:dyDescent="0.25">
      <c r="A19" s="5">
        <v>0</v>
      </c>
      <c r="B19" s="6">
        <v>0</v>
      </c>
      <c r="C19" s="6">
        <f t="shared" si="1"/>
        <v>0</v>
      </c>
      <c r="D19" s="4"/>
      <c r="E19" s="4"/>
      <c r="F19" s="4" t="s">
        <v>22</v>
      </c>
      <c r="G19" s="6">
        <v>0</v>
      </c>
    </row>
    <row r="20" spans="1:7" x14ac:dyDescent="0.25">
      <c r="A20" s="5">
        <v>0</v>
      </c>
      <c r="B20" s="6">
        <v>0</v>
      </c>
      <c r="C20" s="6">
        <f t="shared" si="1"/>
        <v>0</v>
      </c>
      <c r="D20" s="4"/>
      <c r="E20" s="4"/>
      <c r="F20" s="4" t="s">
        <v>23</v>
      </c>
      <c r="G20" s="6">
        <v>0</v>
      </c>
    </row>
    <row r="21" spans="1:7" x14ac:dyDescent="0.25">
      <c r="A21" s="5">
        <v>500</v>
      </c>
      <c r="B21" s="6">
        <v>0</v>
      </c>
      <c r="C21" s="6">
        <f t="shared" si="1"/>
        <v>500</v>
      </c>
      <c r="D21" s="4"/>
      <c r="E21" s="4"/>
      <c r="F21" s="3" t="s">
        <v>24</v>
      </c>
      <c r="G21" s="6">
        <v>50</v>
      </c>
    </row>
    <row r="22" spans="1:7" x14ac:dyDescent="0.25">
      <c r="A22" s="5">
        <v>5050</v>
      </c>
      <c r="B22" s="6">
        <v>0</v>
      </c>
      <c r="C22" s="6">
        <f t="shared" si="1"/>
        <v>5050</v>
      </c>
      <c r="D22" s="9"/>
      <c r="E22" s="10"/>
      <c r="F22" s="3" t="s">
        <v>25</v>
      </c>
      <c r="G22" s="6">
        <v>505</v>
      </c>
    </row>
    <row r="23" spans="1:7" x14ac:dyDescent="0.25">
      <c r="A23" s="5">
        <v>420</v>
      </c>
      <c r="B23" s="6">
        <v>420</v>
      </c>
      <c r="C23" s="6">
        <f t="shared" si="1"/>
        <v>0</v>
      </c>
      <c r="D23" s="9"/>
      <c r="E23" s="11"/>
      <c r="F23" s="13" t="s">
        <v>40</v>
      </c>
      <c r="G23" s="6">
        <f>C23</f>
        <v>0</v>
      </c>
    </row>
    <row r="24" spans="1:7" x14ac:dyDescent="0.25">
      <c r="A24" s="5">
        <v>250</v>
      </c>
      <c r="B24" s="6">
        <v>250</v>
      </c>
      <c r="C24" s="6">
        <f t="shared" si="1"/>
        <v>0</v>
      </c>
      <c r="D24" s="4"/>
      <c r="E24" s="12"/>
      <c r="F24" s="4" t="s">
        <v>35</v>
      </c>
      <c r="G24" s="6">
        <f>C24</f>
        <v>0</v>
      </c>
    </row>
    <row r="25" spans="1:7" x14ac:dyDescent="0.25">
      <c r="A25" s="5">
        <v>5235</v>
      </c>
      <c r="B25" s="6">
        <v>2617.5</v>
      </c>
      <c r="C25" s="6">
        <f t="shared" si="1"/>
        <v>2617.5</v>
      </c>
      <c r="D25" s="4"/>
      <c r="E25" s="4"/>
      <c r="F25" s="3" t="s">
        <v>39</v>
      </c>
      <c r="G25" s="6">
        <v>261.75</v>
      </c>
    </row>
    <row r="26" spans="1:7" x14ac:dyDescent="0.25">
      <c r="A26" s="5">
        <f>A9+A14+A21+A22+A24+A23+A25</f>
        <v>13105</v>
      </c>
      <c r="B26" s="6">
        <f>B9+B14+B21+B22+B23+B24+B25</f>
        <v>3937.5</v>
      </c>
      <c r="C26" s="6">
        <f>C9+C21+C22+C14+C23+C24+C25</f>
        <v>9167.5</v>
      </c>
      <c r="D26" s="38" t="s">
        <v>26</v>
      </c>
      <c r="E26" s="39"/>
      <c r="F26" s="40"/>
      <c r="G26" s="14">
        <f>G9+G14+G21+G22+G23+G24+G25</f>
        <v>916.75</v>
      </c>
    </row>
    <row r="27" spans="1:7" x14ac:dyDescent="0.25">
      <c r="A27" s="15"/>
      <c r="B27" s="16"/>
      <c r="C27" s="16"/>
      <c r="D27" s="16"/>
      <c r="E27" s="16"/>
      <c r="F27" s="16"/>
      <c r="G27" s="17"/>
    </row>
    <row r="28" spans="1:7" x14ac:dyDescent="0.25">
      <c r="A28" s="18" t="s">
        <v>27</v>
      </c>
      <c r="B28" s="19"/>
      <c r="C28" s="19"/>
      <c r="D28" s="19"/>
      <c r="E28" s="19"/>
      <c r="F28" s="19"/>
      <c r="G28" s="20"/>
    </row>
    <row r="29" spans="1:7" x14ac:dyDescent="0.25">
      <c r="A29" s="18"/>
      <c r="B29" s="19"/>
      <c r="C29" s="19"/>
      <c r="D29" s="19"/>
      <c r="E29" s="19"/>
      <c r="F29" s="19"/>
      <c r="G29" s="20"/>
    </row>
    <row r="30" spans="1:7" x14ac:dyDescent="0.25">
      <c r="A30" s="28" t="s">
        <v>28</v>
      </c>
      <c r="B30" s="29"/>
      <c r="C30" s="29"/>
      <c r="D30" s="29"/>
      <c r="E30" s="29"/>
      <c r="F30" s="29"/>
      <c r="G30" s="30"/>
    </row>
    <row r="31" spans="1:7" x14ac:dyDescent="0.25">
      <c r="A31" s="18"/>
      <c r="B31" s="19"/>
      <c r="C31" s="19"/>
      <c r="D31" s="19"/>
      <c r="E31" s="19"/>
      <c r="F31" s="19"/>
      <c r="G31" s="20"/>
    </row>
    <row r="32" spans="1:7" x14ac:dyDescent="0.25">
      <c r="A32" s="28" t="s">
        <v>41</v>
      </c>
      <c r="B32" s="29"/>
      <c r="C32" s="19"/>
      <c r="D32" s="19"/>
      <c r="E32" s="19"/>
      <c r="F32" s="21" t="s">
        <v>29</v>
      </c>
      <c r="G32" s="20"/>
    </row>
    <row r="33" spans="1:7" x14ac:dyDescent="0.25">
      <c r="A33" s="31" t="s">
        <v>42</v>
      </c>
      <c r="B33" s="32"/>
      <c r="C33" s="22"/>
      <c r="D33" s="22"/>
      <c r="E33" s="22"/>
      <c r="F33" s="23" t="s">
        <v>30</v>
      </c>
      <c r="G33" s="24"/>
    </row>
    <row r="36" spans="1:7" x14ac:dyDescent="0.25">
      <c r="A36" s="26" t="s">
        <v>46</v>
      </c>
    </row>
    <row r="37" spans="1:7" x14ac:dyDescent="0.25">
      <c r="A37" s="33" t="s">
        <v>0</v>
      </c>
      <c r="B37" s="33"/>
      <c r="C37" s="33"/>
      <c r="D37" s="33"/>
      <c r="E37" s="33"/>
      <c r="F37" s="33"/>
      <c r="G37" s="33"/>
    </row>
    <row r="38" spans="1:7" x14ac:dyDescent="0.25">
      <c r="A38" s="34" t="s">
        <v>1</v>
      </c>
      <c r="B38" s="34"/>
      <c r="C38" s="34"/>
      <c r="D38" s="34"/>
      <c r="E38" s="34"/>
      <c r="F38" s="34"/>
      <c r="G38" s="34"/>
    </row>
    <row r="39" spans="1:7" x14ac:dyDescent="0.25">
      <c r="A39" s="33" t="s">
        <v>36</v>
      </c>
      <c r="B39" s="33"/>
      <c r="C39" s="33"/>
      <c r="D39" s="33"/>
      <c r="E39" s="33"/>
      <c r="F39" s="33"/>
      <c r="G39" s="33"/>
    </row>
    <row r="40" spans="1:7" x14ac:dyDescent="0.25">
      <c r="A40" s="33" t="s">
        <v>37</v>
      </c>
      <c r="B40" s="33"/>
      <c r="C40" s="33"/>
      <c r="D40" s="33"/>
      <c r="E40" s="33"/>
      <c r="F40" s="33"/>
      <c r="G40" s="33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 t="s">
        <v>2</v>
      </c>
      <c r="B42" s="35"/>
      <c r="C42" s="36"/>
      <c r="D42" s="36"/>
      <c r="E42" s="37"/>
      <c r="F42" s="1"/>
      <c r="G42" s="1"/>
    </row>
    <row r="43" spans="1:7" x14ac:dyDescent="0.25">
      <c r="A43" s="1" t="s">
        <v>4</v>
      </c>
      <c r="B43" s="1" t="s">
        <v>44</v>
      </c>
      <c r="C43" s="1"/>
      <c r="D43" s="1"/>
      <c r="E43" s="1"/>
      <c r="F43" s="1"/>
      <c r="G43" s="1"/>
    </row>
    <row r="44" spans="1:7" x14ac:dyDescent="0.25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</row>
    <row r="45" spans="1:7" x14ac:dyDescent="0.25">
      <c r="A45" s="5">
        <v>850</v>
      </c>
      <c r="B45" s="6">
        <v>850</v>
      </c>
      <c r="C45" s="6">
        <f>A45-B45</f>
        <v>0</v>
      </c>
      <c r="D45" s="4"/>
      <c r="E45" s="4"/>
      <c r="F45" s="3" t="s">
        <v>12</v>
      </c>
      <c r="G45" s="25">
        <f>C45</f>
        <v>0</v>
      </c>
    </row>
    <row r="46" spans="1:7" x14ac:dyDescent="0.25">
      <c r="A46" s="7">
        <v>0</v>
      </c>
      <c r="B46" s="6">
        <v>0</v>
      </c>
      <c r="C46" s="6">
        <f t="shared" ref="C46:C50" si="2">A46-B46</f>
        <v>0</v>
      </c>
      <c r="D46" s="4"/>
      <c r="E46" s="4"/>
      <c r="F46" s="4" t="s">
        <v>13</v>
      </c>
      <c r="G46" s="6">
        <f>C46</f>
        <v>0</v>
      </c>
    </row>
    <row r="47" spans="1:7" x14ac:dyDescent="0.25">
      <c r="A47" s="6">
        <v>0</v>
      </c>
      <c r="B47" s="6"/>
      <c r="C47" s="6">
        <f t="shared" si="2"/>
        <v>0</v>
      </c>
      <c r="D47" s="4"/>
      <c r="E47" s="4"/>
      <c r="F47" s="8" t="s">
        <v>14</v>
      </c>
      <c r="G47" s="6">
        <v>0</v>
      </c>
    </row>
    <row r="48" spans="1:7" x14ac:dyDescent="0.25">
      <c r="A48" s="6">
        <v>0</v>
      </c>
      <c r="B48" s="6"/>
      <c r="C48" s="6">
        <f t="shared" si="2"/>
        <v>0</v>
      </c>
      <c r="D48" s="4"/>
      <c r="E48" s="4"/>
      <c r="F48" s="4" t="s">
        <v>15</v>
      </c>
      <c r="G48" s="6"/>
    </row>
    <row r="49" spans="1:7" x14ac:dyDescent="0.25">
      <c r="A49" s="6">
        <v>0</v>
      </c>
      <c r="B49" s="6"/>
      <c r="C49" s="6">
        <f t="shared" si="2"/>
        <v>0</v>
      </c>
      <c r="D49" s="4"/>
      <c r="E49" s="4"/>
      <c r="F49" s="4" t="s">
        <v>16</v>
      </c>
      <c r="G49" s="6"/>
    </row>
    <row r="50" spans="1:7" x14ac:dyDescent="0.25">
      <c r="A50" s="6">
        <v>1000</v>
      </c>
      <c r="B50" s="6">
        <v>0</v>
      </c>
      <c r="C50" s="6">
        <f t="shared" si="2"/>
        <v>1000</v>
      </c>
      <c r="D50" s="4"/>
      <c r="E50" s="4"/>
      <c r="F50" s="3" t="s">
        <v>17</v>
      </c>
      <c r="G50" s="6">
        <v>100</v>
      </c>
    </row>
    <row r="51" spans="1:7" x14ac:dyDescent="0.25">
      <c r="A51" s="6"/>
      <c r="B51" s="6"/>
      <c r="C51" s="6"/>
      <c r="D51" s="4"/>
      <c r="E51" s="4"/>
      <c r="F51" s="4" t="s">
        <v>18</v>
      </c>
      <c r="G51" s="6">
        <v>0</v>
      </c>
    </row>
    <row r="52" spans="1:7" x14ac:dyDescent="0.25">
      <c r="A52" s="6"/>
      <c r="B52" s="6"/>
      <c r="C52" s="6"/>
      <c r="D52" s="4"/>
      <c r="E52" s="4"/>
      <c r="F52" s="4" t="s">
        <v>19</v>
      </c>
      <c r="G52" s="6">
        <v>0</v>
      </c>
    </row>
    <row r="53" spans="1:7" x14ac:dyDescent="0.25">
      <c r="A53" s="6">
        <v>0</v>
      </c>
      <c r="B53" s="6"/>
      <c r="C53" s="6">
        <f t="shared" ref="C53:C61" si="3">A53-B53</f>
        <v>0</v>
      </c>
      <c r="D53" s="4"/>
      <c r="E53" s="4"/>
      <c r="F53" s="4" t="s">
        <v>20</v>
      </c>
      <c r="G53" s="6">
        <v>0</v>
      </c>
    </row>
    <row r="54" spans="1:7" x14ac:dyDescent="0.25">
      <c r="A54" s="6">
        <v>0</v>
      </c>
      <c r="B54" s="6"/>
      <c r="C54" s="6">
        <f t="shared" si="3"/>
        <v>0</v>
      </c>
      <c r="D54" s="4"/>
      <c r="E54" s="4"/>
      <c r="F54" s="4" t="s">
        <v>21</v>
      </c>
      <c r="G54" s="6">
        <v>0</v>
      </c>
    </row>
    <row r="55" spans="1:7" x14ac:dyDescent="0.25">
      <c r="A55" s="5">
        <v>0</v>
      </c>
      <c r="B55" s="6">
        <v>0</v>
      </c>
      <c r="C55" s="6">
        <f t="shared" si="3"/>
        <v>0</v>
      </c>
      <c r="D55" s="4"/>
      <c r="E55" s="4"/>
      <c r="F55" s="4" t="s">
        <v>22</v>
      </c>
      <c r="G55" s="6">
        <v>0</v>
      </c>
    </row>
    <row r="56" spans="1:7" x14ac:dyDescent="0.25">
      <c r="A56" s="5">
        <v>0</v>
      </c>
      <c r="B56" s="6">
        <v>0</v>
      </c>
      <c r="C56" s="6">
        <f t="shared" si="3"/>
        <v>0</v>
      </c>
      <c r="D56" s="4"/>
      <c r="E56" s="4"/>
      <c r="F56" s="4" t="s">
        <v>23</v>
      </c>
      <c r="G56" s="6">
        <v>0</v>
      </c>
    </row>
    <row r="57" spans="1:7" x14ac:dyDescent="0.25">
      <c r="A57" s="5">
        <v>500</v>
      </c>
      <c r="B57" s="6">
        <v>0</v>
      </c>
      <c r="C57" s="6">
        <f t="shared" si="3"/>
        <v>500</v>
      </c>
      <c r="D57" s="4"/>
      <c r="E57" s="4"/>
      <c r="F57" s="3" t="s">
        <v>24</v>
      </c>
      <c r="G57" s="6">
        <v>50</v>
      </c>
    </row>
    <row r="58" spans="1:7" x14ac:dyDescent="0.25">
      <c r="A58" s="5">
        <v>5050</v>
      </c>
      <c r="B58" s="6">
        <v>0</v>
      </c>
      <c r="C58" s="6">
        <f t="shared" si="3"/>
        <v>5050</v>
      </c>
      <c r="D58" s="9"/>
      <c r="E58" s="10"/>
      <c r="F58" s="3" t="s">
        <v>25</v>
      </c>
      <c r="G58" s="6">
        <v>505</v>
      </c>
    </row>
    <row r="59" spans="1:7" x14ac:dyDescent="0.25">
      <c r="A59" s="5">
        <v>420</v>
      </c>
      <c r="B59" s="6">
        <v>420</v>
      </c>
      <c r="C59" s="6">
        <f t="shared" si="3"/>
        <v>0</v>
      </c>
      <c r="D59" s="9"/>
      <c r="E59" s="11"/>
      <c r="F59" s="13" t="s">
        <v>40</v>
      </c>
      <c r="G59" s="6">
        <f>C59</f>
        <v>0</v>
      </c>
    </row>
    <row r="60" spans="1:7" x14ac:dyDescent="0.25">
      <c r="A60" s="5">
        <v>250</v>
      </c>
      <c r="B60" s="6">
        <v>250</v>
      </c>
      <c r="C60" s="6">
        <f t="shared" si="3"/>
        <v>0</v>
      </c>
      <c r="D60" s="4"/>
      <c r="E60" s="12"/>
      <c r="F60" s="4" t="s">
        <v>35</v>
      </c>
      <c r="G60" s="6">
        <f>C60</f>
        <v>0</v>
      </c>
    </row>
    <row r="61" spans="1:7" x14ac:dyDescent="0.25">
      <c r="A61" s="5">
        <v>5235</v>
      </c>
      <c r="B61" s="6">
        <v>2617.5</v>
      </c>
      <c r="C61" s="6">
        <f t="shared" si="3"/>
        <v>2617.5</v>
      </c>
      <c r="D61" s="4"/>
      <c r="E61" s="4"/>
      <c r="F61" s="3" t="s">
        <v>39</v>
      </c>
      <c r="G61" s="6">
        <v>261.75</v>
      </c>
    </row>
    <row r="62" spans="1:7" x14ac:dyDescent="0.25">
      <c r="A62" s="5">
        <f>A45+A50+A57+A58+A60+A59+A61</f>
        <v>13305</v>
      </c>
      <c r="B62" s="6">
        <f>B45+B50+B57+B58+B59+B60+B61</f>
        <v>4137.5</v>
      </c>
      <c r="C62" s="6">
        <f>C45+C57+C58+C50+C59+C60+C61</f>
        <v>9167.5</v>
      </c>
      <c r="D62" s="38" t="s">
        <v>26</v>
      </c>
      <c r="E62" s="39"/>
      <c r="F62" s="40"/>
      <c r="G62" s="14">
        <f>G45+G50+G57+G58+G59+G60+G61</f>
        <v>916.75</v>
      </c>
    </row>
    <row r="63" spans="1:7" x14ac:dyDescent="0.25">
      <c r="A63" s="15"/>
      <c r="B63" s="16"/>
      <c r="C63" s="16"/>
      <c r="D63" s="16"/>
      <c r="E63" s="16"/>
      <c r="F63" s="16"/>
      <c r="G63" s="17"/>
    </row>
    <row r="64" spans="1:7" x14ac:dyDescent="0.25">
      <c r="A64" s="18" t="s">
        <v>27</v>
      </c>
      <c r="B64" s="19"/>
      <c r="C64" s="19"/>
      <c r="D64" s="19"/>
      <c r="E64" s="19"/>
      <c r="F64" s="19"/>
      <c r="G64" s="20"/>
    </row>
    <row r="65" spans="1:7" x14ac:dyDescent="0.25">
      <c r="A65" s="18"/>
      <c r="B65" s="19"/>
      <c r="C65" s="19"/>
      <c r="D65" s="19"/>
      <c r="E65" s="19"/>
      <c r="F65" s="19"/>
      <c r="G65" s="20"/>
    </row>
    <row r="66" spans="1:7" x14ac:dyDescent="0.25">
      <c r="A66" s="28" t="s">
        <v>28</v>
      </c>
      <c r="B66" s="29"/>
      <c r="C66" s="29"/>
      <c r="D66" s="29"/>
      <c r="E66" s="29"/>
      <c r="F66" s="29"/>
      <c r="G66" s="30"/>
    </row>
    <row r="67" spans="1:7" x14ac:dyDescent="0.25">
      <c r="A67" s="18"/>
      <c r="B67" s="19"/>
      <c r="C67" s="19"/>
      <c r="D67" s="19"/>
      <c r="E67" s="19"/>
      <c r="F67" s="19"/>
      <c r="G67" s="20"/>
    </row>
    <row r="68" spans="1:7" x14ac:dyDescent="0.25">
      <c r="A68" s="28" t="s">
        <v>41</v>
      </c>
      <c r="B68" s="29"/>
      <c r="C68" s="19"/>
      <c r="D68" s="19"/>
      <c r="E68" s="19"/>
      <c r="F68" s="21" t="s">
        <v>29</v>
      </c>
      <c r="G68" s="20"/>
    </row>
    <row r="69" spans="1:7" x14ac:dyDescent="0.25">
      <c r="A69" s="31" t="s">
        <v>42</v>
      </c>
      <c r="B69" s="32"/>
      <c r="C69" s="22"/>
      <c r="D69" s="22"/>
      <c r="E69" s="22"/>
      <c r="F69" s="23" t="s">
        <v>30</v>
      </c>
      <c r="G69" s="24"/>
    </row>
  </sheetData>
  <mergeCells count="18">
    <mergeCell ref="D26:F26"/>
    <mergeCell ref="A1:G1"/>
    <mergeCell ref="A2:G2"/>
    <mergeCell ref="A3:G3"/>
    <mergeCell ref="A4:G4"/>
    <mergeCell ref="B6:E6"/>
    <mergeCell ref="A69:B69"/>
    <mergeCell ref="A30:G30"/>
    <mergeCell ref="A32:B32"/>
    <mergeCell ref="A33:B33"/>
    <mergeCell ref="A37:G37"/>
    <mergeCell ref="A38:G38"/>
    <mergeCell ref="A39:G39"/>
    <mergeCell ref="A40:G40"/>
    <mergeCell ref="B42:E42"/>
    <mergeCell ref="D62:F62"/>
    <mergeCell ref="A66:G66"/>
    <mergeCell ref="A68:B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selection activeCell="F22" sqref="F22"/>
    </sheetView>
  </sheetViews>
  <sheetFormatPr defaultRowHeight="15" x14ac:dyDescent="0.25"/>
  <cols>
    <col min="1" max="1" width="11" customWidth="1"/>
    <col min="2" max="2" width="11.140625" customWidth="1"/>
    <col min="3" max="3" width="9.5703125" customWidth="1"/>
    <col min="6" max="6" width="20.85546875" customWidth="1"/>
    <col min="7" max="7" width="14.140625" customWidth="1"/>
  </cols>
  <sheetData>
    <row r="1" spans="1:7" x14ac:dyDescent="0.25">
      <c r="A1" s="33" t="s">
        <v>0</v>
      </c>
      <c r="B1" s="33"/>
      <c r="C1" s="33"/>
      <c r="D1" s="33"/>
      <c r="E1" s="33"/>
      <c r="F1" s="33"/>
      <c r="G1" s="33"/>
    </row>
    <row r="2" spans="1:7" x14ac:dyDescent="0.25">
      <c r="A2" s="34" t="s">
        <v>1</v>
      </c>
      <c r="B2" s="34"/>
      <c r="C2" s="34"/>
      <c r="D2" s="34"/>
      <c r="E2" s="34"/>
      <c r="F2" s="34"/>
      <c r="G2" s="34"/>
    </row>
    <row r="3" spans="1:7" x14ac:dyDescent="0.25">
      <c r="A3" s="33" t="s">
        <v>36</v>
      </c>
      <c r="B3" s="33"/>
      <c r="C3" s="33"/>
      <c r="D3" s="33"/>
      <c r="E3" s="33"/>
      <c r="F3" s="33"/>
      <c r="G3" s="33"/>
    </row>
    <row r="4" spans="1:7" x14ac:dyDescent="0.25">
      <c r="A4" s="33" t="s">
        <v>37</v>
      </c>
      <c r="B4" s="33"/>
      <c r="C4" s="33"/>
      <c r="D4" s="33"/>
      <c r="E4" s="33"/>
      <c r="F4" s="33"/>
      <c r="G4" s="33"/>
    </row>
    <row r="5" spans="1:7" x14ac:dyDescent="0.25">
      <c r="A5" s="27" t="s">
        <v>47</v>
      </c>
      <c r="B5" s="1"/>
      <c r="C5" s="1"/>
      <c r="D5" s="1"/>
      <c r="E5" s="1"/>
      <c r="F5" s="1"/>
      <c r="G5" s="1"/>
    </row>
    <row r="6" spans="1:7" x14ac:dyDescent="0.25">
      <c r="A6" s="1" t="s">
        <v>2</v>
      </c>
      <c r="B6" s="35"/>
      <c r="C6" s="36"/>
      <c r="D6" s="36"/>
      <c r="E6" s="37"/>
      <c r="F6" s="1"/>
      <c r="G6" s="1"/>
    </row>
    <row r="7" spans="1:7" x14ac:dyDescent="0.25">
      <c r="A7" s="1" t="s">
        <v>4</v>
      </c>
      <c r="B7" s="1" t="s">
        <v>45</v>
      </c>
      <c r="C7" s="1"/>
      <c r="D7" s="1"/>
      <c r="E7" s="1"/>
      <c r="F7" s="1"/>
      <c r="G7" s="1"/>
    </row>
    <row r="8" spans="1:7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25">
      <c r="A9" s="5">
        <v>700</v>
      </c>
      <c r="B9" s="6">
        <v>700</v>
      </c>
      <c r="C9" s="6">
        <f>A9-B9</f>
        <v>0</v>
      </c>
      <c r="D9" s="4"/>
      <c r="E9" s="4"/>
      <c r="F9" s="3" t="s">
        <v>12</v>
      </c>
      <c r="G9" s="25">
        <f>C9</f>
        <v>0</v>
      </c>
    </row>
    <row r="10" spans="1:7" x14ac:dyDescent="0.25">
      <c r="A10" s="7">
        <v>0</v>
      </c>
      <c r="B10" s="6">
        <v>0</v>
      </c>
      <c r="C10" s="6">
        <f t="shared" ref="C10:C14" si="0">A10-B10</f>
        <v>0</v>
      </c>
      <c r="D10" s="4"/>
      <c r="E10" s="4"/>
      <c r="F10" s="4" t="s">
        <v>13</v>
      </c>
      <c r="G10" s="6">
        <f>C10</f>
        <v>0</v>
      </c>
    </row>
    <row r="11" spans="1:7" x14ac:dyDescent="0.25">
      <c r="A11" s="6">
        <v>0</v>
      </c>
      <c r="B11" s="6"/>
      <c r="C11" s="6">
        <f t="shared" si="0"/>
        <v>0</v>
      </c>
      <c r="D11" s="4"/>
      <c r="E11" s="4"/>
      <c r="F11" s="8" t="s">
        <v>14</v>
      </c>
      <c r="G11" s="6">
        <v>0</v>
      </c>
    </row>
    <row r="12" spans="1:7" x14ac:dyDescent="0.25">
      <c r="A12" s="6">
        <v>0</v>
      </c>
      <c r="B12" s="6"/>
      <c r="C12" s="6">
        <f t="shared" si="0"/>
        <v>0</v>
      </c>
      <c r="D12" s="4"/>
      <c r="E12" s="4"/>
      <c r="F12" s="4" t="s">
        <v>15</v>
      </c>
      <c r="G12" s="6"/>
    </row>
    <row r="13" spans="1:7" x14ac:dyDescent="0.25">
      <c r="A13" s="6">
        <v>0</v>
      </c>
      <c r="B13" s="6"/>
      <c r="C13" s="6">
        <f t="shared" si="0"/>
        <v>0</v>
      </c>
      <c r="D13" s="4"/>
      <c r="E13" s="4"/>
      <c r="F13" s="4" t="s">
        <v>16</v>
      </c>
      <c r="G13" s="6"/>
    </row>
    <row r="14" spans="1:7" x14ac:dyDescent="0.25">
      <c r="A14" s="6">
        <v>1000</v>
      </c>
      <c r="B14" s="6">
        <v>0</v>
      </c>
      <c r="C14" s="6">
        <f t="shared" si="0"/>
        <v>1000</v>
      </c>
      <c r="D14" s="4"/>
      <c r="E14" s="4"/>
      <c r="F14" s="3" t="s">
        <v>17</v>
      </c>
      <c r="G14" s="6">
        <v>100</v>
      </c>
    </row>
    <row r="15" spans="1:7" x14ac:dyDescent="0.25">
      <c r="A15" s="6"/>
      <c r="B15" s="6"/>
      <c r="C15" s="6"/>
      <c r="D15" s="4"/>
      <c r="E15" s="4"/>
      <c r="F15" s="4" t="s">
        <v>18</v>
      </c>
      <c r="G15" s="6">
        <v>0</v>
      </c>
    </row>
    <row r="16" spans="1:7" x14ac:dyDescent="0.25">
      <c r="A16" s="6"/>
      <c r="B16" s="6"/>
      <c r="C16" s="6"/>
      <c r="D16" s="4"/>
      <c r="E16" s="4"/>
      <c r="F16" s="4" t="s">
        <v>19</v>
      </c>
      <c r="G16" s="6">
        <v>0</v>
      </c>
    </row>
    <row r="17" spans="1:7" x14ac:dyDescent="0.25">
      <c r="A17" s="6">
        <v>0</v>
      </c>
      <c r="B17" s="6"/>
      <c r="C17" s="6">
        <f t="shared" ref="C17:C25" si="1">A17-B17</f>
        <v>0</v>
      </c>
      <c r="D17" s="4"/>
      <c r="E17" s="4"/>
      <c r="F17" s="4" t="s">
        <v>20</v>
      </c>
      <c r="G17" s="6">
        <v>0</v>
      </c>
    </row>
    <row r="18" spans="1:7" x14ac:dyDescent="0.25">
      <c r="A18" s="6">
        <v>0</v>
      </c>
      <c r="B18" s="6"/>
      <c r="C18" s="6">
        <f t="shared" si="1"/>
        <v>0</v>
      </c>
      <c r="D18" s="4"/>
      <c r="E18" s="4"/>
      <c r="F18" s="4" t="s">
        <v>21</v>
      </c>
      <c r="G18" s="6">
        <v>0</v>
      </c>
    </row>
    <row r="19" spans="1:7" x14ac:dyDescent="0.25">
      <c r="A19" s="5">
        <v>0</v>
      </c>
      <c r="B19" s="6">
        <v>0</v>
      </c>
      <c r="C19" s="6">
        <f t="shared" si="1"/>
        <v>0</v>
      </c>
      <c r="D19" s="4"/>
      <c r="E19" s="4"/>
      <c r="F19" s="4" t="s">
        <v>22</v>
      </c>
      <c r="G19" s="6">
        <v>0</v>
      </c>
    </row>
    <row r="20" spans="1:7" x14ac:dyDescent="0.25">
      <c r="A20" s="5">
        <v>0</v>
      </c>
      <c r="B20" s="6">
        <v>0</v>
      </c>
      <c r="C20" s="6">
        <f t="shared" si="1"/>
        <v>0</v>
      </c>
      <c r="D20" s="4"/>
      <c r="E20" s="4"/>
      <c r="F20" s="4" t="s">
        <v>23</v>
      </c>
      <c r="G20" s="6">
        <v>0</v>
      </c>
    </row>
    <row r="21" spans="1:7" x14ac:dyDescent="0.25">
      <c r="A21" s="5">
        <v>500</v>
      </c>
      <c r="B21" s="6">
        <v>0</v>
      </c>
      <c r="C21" s="6">
        <f t="shared" si="1"/>
        <v>500</v>
      </c>
      <c r="D21" s="4"/>
      <c r="E21" s="4"/>
      <c r="F21" s="3" t="s">
        <v>24</v>
      </c>
      <c r="G21" s="6">
        <v>50</v>
      </c>
    </row>
    <row r="22" spans="1:7" x14ac:dyDescent="0.25">
      <c r="A22" s="5">
        <v>5050</v>
      </c>
      <c r="B22" s="6">
        <v>0</v>
      </c>
      <c r="C22" s="6">
        <f t="shared" si="1"/>
        <v>5050</v>
      </c>
      <c r="D22" s="9"/>
      <c r="E22" s="10"/>
      <c r="F22" s="3" t="s">
        <v>25</v>
      </c>
      <c r="G22" s="6">
        <v>505</v>
      </c>
    </row>
    <row r="23" spans="1:7" x14ac:dyDescent="0.25">
      <c r="A23" s="5">
        <v>490</v>
      </c>
      <c r="B23" s="6">
        <v>490</v>
      </c>
      <c r="C23" s="6">
        <f t="shared" si="1"/>
        <v>0</v>
      </c>
      <c r="D23" s="9"/>
      <c r="E23" s="11"/>
      <c r="F23" s="13" t="s">
        <v>40</v>
      </c>
      <c r="G23" s="6">
        <f>C23</f>
        <v>0</v>
      </c>
    </row>
    <row r="24" spans="1:7" x14ac:dyDescent="0.25">
      <c r="A24" s="5">
        <v>250</v>
      </c>
      <c r="B24" s="6">
        <v>250</v>
      </c>
      <c r="C24" s="6">
        <f t="shared" si="1"/>
        <v>0</v>
      </c>
      <c r="D24" s="4"/>
      <c r="E24" s="12"/>
      <c r="F24" s="4" t="s">
        <v>35</v>
      </c>
      <c r="G24" s="6">
        <f>C24</f>
        <v>0</v>
      </c>
    </row>
    <row r="25" spans="1:7" x14ac:dyDescent="0.25">
      <c r="A25" s="5">
        <v>0</v>
      </c>
      <c r="B25" s="6">
        <v>0</v>
      </c>
      <c r="C25" s="6">
        <f t="shared" si="1"/>
        <v>0</v>
      </c>
      <c r="D25" s="4"/>
      <c r="E25" s="4"/>
      <c r="F25" s="3" t="s">
        <v>39</v>
      </c>
      <c r="G25" s="6">
        <v>0</v>
      </c>
    </row>
    <row r="26" spans="1:7" x14ac:dyDescent="0.25">
      <c r="A26" s="5">
        <f>A9+A14+A21+A22+A24+A23+A25</f>
        <v>7990</v>
      </c>
      <c r="B26" s="6">
        <f>B9+B14+B21+B22+B23+B24+B25</f>
        <v>1440</v>
      </c>
      <c r="C26" s="6">
        <f>C9+C21+C22+C14+C23+C24+C25</f>
        <v>6550</v>
      </c>
      <c r="D26" s="38" t="s">
        <v>26</v>
      </c>
      <c r="E26" s="39"/>
      <c r="F26" s="40"/>
      <c r="G26" s="14">
        <f>G9+G14+G21+G22+G23+G24+G25</f>
        <v>655</v>
      </c>
    </row>
    <row r="27" spans="1:7" x14ac:dyDescent="0.25">
      <c r="A27" s="15"/>
      <c r="B27" s="16"/>
      <c r="C27" s="16"/>
      <c r="D27" s="16"/>
      <c r="E27" s="16"/>
      <c r="F27" s="16"/>
      <c r="G27" s="17"/>
    </row>
    <row r="28" spans="1:7" x14ac:dyDescent="0.25">
      <c r="A28" s="18" t="s">
        <v>27</v>
      </c>
      <c r="B28" s="19"/>
      <c r="C28" s="19"/>
      <c r="D28" s="19"/>
      <c r="E28" s="19"/>
      <c r="F28" s="19"/>
      <c r="G28" s="20"/>
    </row>
    <row r="29" spans="1:7" x14ac:dyDescent="0.25">
      <c r="A29" s="18"/>
      <c r="B29" s="19"/>
      <c r="C29" s="19"/>
      <c r="D29" s="19"/>
      <c r="E29" s="19"/>
      <c r="F29" s="19"/>
      <c r="G29" s="20"/>
    </row>
    <row r="30" spans="1:7" x14ac:dyDescent="0.25">
      <c r="A30" s="28" t="s">
        <v>28</v>
      </c>
      <c r="B30" s="29"/>
      <c r="C30" s="29"/>
      <c r="D30" s="29"/>
      <c r="E30" s="29"/>
      <c r="F30" s="29"/>
      <c r="G30" s="30"/>
    </row>
    <row r="31" spans="1:7" x14ac:dyDescent="0.25">
      <c r="A31" s="18"/>
      <c r="B31" s="19"/>
      <c r="C31" s="19"/>
      <c r="D31" s="19"/>
      <c r="E31" s="19"/>
      <c r="F31" s="19"/>
      <c r="G31" s="20"/>
    </row>
    <row r="32" spans="1:7" x14ac:dyDescent="0.25">
      <c r="A32" s="28" t="s">
        <v>41</v>
      </c>
      <c r="B32" s="29"/>
      <c r="C32" s="19"/>
      <c r="D32" s="19"/>
      <c r="E32" s="19"/>
      <c r="F32" s="21" t="s">
        <v>29</v>
      </c>
      <c r="G32" s="20"/>
    </row>
    <row r="33" spans="1:7" x14ac:dyDescent="0.25">
      <c r="A33" s="31" t="s">
        <v>42</v>
      </c>
      <c r="B33" s="32"/>
      <c r="C33" s="22"/>
      <c r="D33" s="22"/>
      <c r="E33" s="22"/>
      <c r="F33" s="23" t="s">
        <v>30</v>
      </c>
      <c r="G33" s="24"/>
    </row>
    <row r="37" spans="1:7" x14ac:dyDescent="0.25">
      <c r="A37" s="33" t="s">
        <v>0</v>
      </c>
      <c r="B37" s="33"/>
      <c r="C37" s="33"/>
      <c r="D37" s="33"/>
      <c r="E37" s="33"/>
      <c r="F37" s="33"/>
      <c r="G37" s="33"/>
    </row>
    <row r="38" spans="1:7" x14ac:dyDescent="0.25">
      <c r="A38" s="34" t="s">
        <v>1</v>
      </c>
      <c r="B38" s="34"/>
      <c r="C38" s="34"/>
      <c r="D38" s="34"/>
      <c r="E38" s="34"/>
      <c r="F38" s="34"/>
      <c r="G38" s="34"/>
    </row>
    <row r="39" spans="1:7" x14ac:dyDescent="0.25">
      <c r="A39" s="33" t="s">
        <v>36</v>
      </c>
      <c r="B39" s="33"/>
      <c r="C39" s="33"/>
      <c r="D39" s="33"/>
      <c r="E39" s="33"/>
      <c r="F39" s="33"/>
      <c r="G39" s="33"/>
    </row>
    <row r="40" spans="1:7" x14ac:dyDescent="0.25">
      <c r="A40" s="33" t="s">
        <v>37</v>
      </c>
      <c r="B40" s="33"/>
      <c r="C40" s="33"/>
      <c r="D40" s="33"/>
      <c r="E40" s="33"/>
      <c r="F40" s="33"/>
      <c r="G40" s="33"/>
    </row>
    <row r="41" spans="1:7" x14ac:dyDescent="0.25">
      <c r="A41" s="27" t="s">
        <v>48</v>
      </c>
      <c r="B41" s="1"/>
      <c r="C41" s="1"/>
      <c r="D41" s="1"/>
      <c r="E41" s="1"/>
      <c r="F41" s="1"/>
      <c r="G41" s="1"/>
    </row>
    <row r="42" spans="1:7" x14ac:dyDescent="0.25">
      <c r="A42" s="1" t="s">
        <v>2</v>
      </c>
      <c r="B42" s="35"/>
      <c r="C42" s="36"/>
      <c r="D42" s="36"/>
      <c r="E42" s="37"/>
      <c r="F42" s="1"/>
      <c r="G42" s="1"/>
    </row>
    <row r="43" spans="1:7" x14ac:dyDescent="0.25">
      <c r="A43" s="1" t="s">
        <v>4</v>
      </c>
      <c r="B43" s="1" t="s">
        <v>45</v>
      </c>
      <c r="C43" s="1"/>
      <c r="D43" s="1"/>
      <c r="E43" s="1"/>
      <c r="F43" s="1"/>
      <c r="G43" s="1"/>
    </row>
    <row r="44" spans="1:7" x14ac:dyDescent="0.25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</row>
    <row r="45" spans="1:7" x14ac:dyDescent="0.25">
      <c r="A45" s="5">
        <v>900</v>
      </c>
      <c r="B45" s="6">
        <v>900</v>
      </c>
      <c r="C45" s="6">
        <f>A45-B45</f>
        <v>0</v>
      </c>
      <c r="D45" s="4"/>
      <c r="E45" s="4"/>
      <c r="F45" s="3" t="s">
        <v>12</v>
      </c>
      <c r="G45" s="25">
        <f>C45</f>
        <v>0</v>
      </c>
    </row>
    <row r="46" spans="1:7" x14ac:dyDescent="0.25">
      <c r="A46" s="7">
        <v>0</v>
      </c>
      <c r="B46" s="6">
        <v>0</v>
      </c>
      <c r="C46" s="6">
        <f t="shared" ref="C46:C50" si="2">A46-B46</f>
        <v>0</v>
      </c>
      <c r="D46" s="4"/>
      <c r="E46" s="4"/>
      <c r="F46" s="4" t="s">
        <v>13</v>
      </c>
      <c r="G46" s="6">
        <f>C46</f>
        <v>0</v>
      </c>
    </row>
    <row r="47" spans="1:7" x14ac:dyDescent="0.25">
      <c r="A47" s="6">
        <v>0</v>
      </c>
      <c r="B47" s="6"/>
      <c r="C47" s="6">
        <f t="shared" si="2"/>
        <v>0</v>
      </c>
      <c r="D47" s="4"/>
      <c r="E47" s="4"/>
      <c r="F47" s="8" t="s">
        <v>14</v>
      </c>
      <c r="G47" s="6">
        <v>0</v>
      </c>
    </row>
    <row r="48" spans="1:7" x14ac:dyDescent="0.25">
      <c r="A48" s="6">
        <v>0</v>
      </c>
      <c r="B48" s="6"/>
      <c r="C48" s="6">
        <f t="shared" si="2"/>
        <v>0</v>
      </c>
      <c r="D48" s="4"/>
      <c r="E48" s="4"/>
      <c r="F48" s="4" t="s">
        <v>15</v>
      </c>
      <c r="G48" s="6"/>
    </row>
    <row r="49" spans="1:7" x14ac:dyDescent="0.25">
      <c r="A49" s="6">
        <v>0</v>
      </c>
      <c r="B49" s="6"/>
      <c r="C49" s="6">
        <f t="shared" si="2"/>
        <v>0</v>
      </c>
      <c r="D49" s="4"/>
      <c r="E49" s="4"/>
      <c r="F49" s="4" t="s">
        <v>16</v>
      </c>
      <c r="G49" s="6"/>
    </row>
    <row r="50" spans="1:7" x14ac:dyDescent="0.25">
      <c r="A50" s="6">
        <v>1000</v>
      </c>
      <c r="B50" s="6">
        <v>0</v>
      </c>
      <c r="C50" s="6">
        <f t="shared" si="2"/>
        <v>1000</v>
      </c>
      <c r="D50" s="4"/>
      <c r="E50" s="4"/>
      <c r="F50" s="3" t="s">
        <v>17</v>
      </c>
      <c r="G50" s="6">
        <v>100</v>
      </c>
    </row>
    <row r="51" spans="1:7" x14ac:dyDescent="0.25">
      <c r="A51" s="6"/>
      <c r="B51" s="6"/>
      <c r="C51" s="6"/>
      <c r="D51" s="4"/>
      <c r="E51" s="4"/>
      <c r="F51" s="4" t="s">
        <v>18</v>
      </c>
      <c r="G51" s="6">
        <v>0</v>
      </c>
    </row>
    <row r="52" spans="1:7" x14ac:dyDescent="0.25">
      <c r="A52" s="6"/>
      <c r="B52" s="6"/>
      <c r="C52" s="6"/>
      <c r="D52" s="4"/>
      <c r="E52" s="4"/>
      <c r="F52" s="4" t="s">
        <v>19</v>
      </c>
      <c r="G52" s="6">
        <v>0</v>
      </c>
    </row>
    <row r="53" spans="1:7" x14ac:dyDescent="0.25">
      <c r="A53" s="6">
        <v>0</v>
      </c>
      <c r="B53" s="6"/>
      <c r="C53" s="6">
        <f t="shared" ref="C53:C61" si="3">A53-B53</f>
        <v>0</v>
      </c>
      <c r="D53" s="4"/>
      <c r="E53" s="4"/>
      <c r="F53" s="4" t="s">
        <v>20</v>
      </c>
      <c r="G53" s="6">
        <v>0</v>
      </c>
    </row>
    <row r="54" spans="1:7" x14ac:dyDescent="0.25">
      <c r="A54" s="6">
        <v>0</v>
      </c>
      <c r="B54" s="6"/>
      <c r="C54" s="6">
        <f t="shared" si="3"/>
        <v>0</v>
      </c>
      <c r="D54" s="4"/>
      <c r="E54" s="4"/>
      <c r="F54" s="4" t="s">
        <v>21</v>
      </c>
      <c r="G54" s="6">
        <v>0</v>
      </c>
    </row>
    <row r="55" spans="1:7" x14ac:dyDescent="0.25">
      <c r="A55" s="5">
        <v>0</v>
      </c>
      <c r="B55" s="6">
        <v>0</v>
      </c>
      <c r="C55" s="6">
        <f t="shared" si="3"/>
        <v>0</v>
      </c>
      <c r="D55" s="4"/>
      <c r="E55" s="4"/>
      <c r="F55" s="4" t="s">
        <v>22</v>
      </c>
      <c r="G55" s="6">
        <v>0</v>
      </c>
    </row>
    <row r="56" spans="1:7" x14ac:dyDescent="0.25">
      <c r="A56" s="5">
        <v>0</v>
      </c>
      <c r="B56" s="6">
        <v>0</v>
      </c>
      <c r="C56" s="6">
        <f t="shared" si="3"/>
        <v>0</v>
      </c>
      <c r="D56" s="4"/>
      <c r="E56" s="4"/>
      <c r="F56" s="4" t="s">
        <v>23</v>
      </c>
      <c r="G56" s="6">
        <v>0</v>
      </c>
    </row>
    <row r="57" spans="1:7" x14ac:dyDescent="0.25">
      <c r="A57" s="5">
        <v>500</v>
      </c>
      <c r="B57" s="6">
        <v>0</v>
      </c>
      <c r="C57" s="6">
        <f t="shared" si="3"/>
        <v>500</v>
      </c>
      <c r="D57" s="4"/>
      <c r="E57" s="4"/>
      <c r="F57" s="3" t="s">
        <v>24</v>
      </c>
      <c r="G57" s="6">
        <v>50</v>
      </c>
    </row>
    <row r="58" spans="1:7" x14ac:dyDescent="0.25">
      <c r="A58" s="5">
        <v>5050</v>
      </c>
      <c r="B58" s="6">
        <v>0</v>
      </c>
      <c r="C58" s="6">
        <f t="shared" si="3"/>
        <v>5050</v>
      </c>
      <c r="D58" s="9"/>
      <c r="E58" s="10"/>
      <c r="F58" s="3" t="s">
        <v>25</v>
      </c>
      <c r="G58" s="6">
        <v>505</v>
      </c>
    </row>
    <row r="59" spans="1:7" x14ac:dyDescent="0.25">
      <c r="A59" s="5">
        <v>490</v>
      </c>
      <c r="B59" s="6">
        <v>490</v>
      </c>
      <c r="C59" s="6">
        <f t="shared" si="3"/>
        <v>0</v>
      </c>
      <c r="D59" s="9"/>
      <c r="E59" s="11"/>
      <c r="F59" s="13" t="s">
        <v>40</v>
      </c>
      <c r="G59" s="6">
        <f>C59</f>
        <v>0</v>
      </c>
    </row>
    <row r="60" spans="1:7" x14ac:dyDescent="0.25">
      <c r="A60" s="5">
        <v>250</v>
      </c>
      <c r="B60" s="6">
        <v>250</v>
      </c>
      <c r="C60" s="6">
        <f t="shared" si="3"/>
        <v>0</v>
      </c>
      <c r="D60" s="4"/>
      <c r="E60" s="12"/>
      <c r="F60" s="4" t="s">
        <v>35</v>
      </c>
      <c r="G60" s="6">
        <f>C60</f>
        <v>0</v>
      </c>
    </row>
    <row r="61" spans="1:7" x14ac:dyDescent="0.25">
      <c r="A61" s="5">
        <v>0</v>
      </c>
      <c r="B61" s="6">
        <v>0</v>
      </c>
      <c r="C61" s="6">
        <f t="shared" si="3"/>
        <v>0</v>
      </c>
      <c r="D61" s="4"/>
      <c r="E61" s="4"/>
      <c r="F61" s="3" t="s">
        <v>39</v>
      </c>
      <c r="G61" s="6">
        <v>0</v>
      </c>
    </row>
    <row r="62" spans="1:7" x14ac:dyDescent="0.25">
      <c r="A62" s="5">
        <f>A45+A50+A57+A58+A60+A59+A61</f>
        <v>8190</v>
      </c>
      <c r="B62" s="6">
        <f>B45+B50+B57+B58+B59+B60+B61</f>
        <v>1640</v>
      </c>
      <c r="C62" s="6">
        <f>C45+C57+C58+C50+C59+C60+C61</f>
        <v>6550</v>
      </c>
      <c r="D62" s="38" t="s">
        <v>26</v>
      </c>
      <c r="E62" s="39"/>
      <c r="F62" s="40"/>
      <c r="G62" s="14">
        <f>G45+G50+G57+G58+G59+G60+G61</f>
        <v>655</v>
      </c>
    </row>
    <row r="63" spans="1:7" x14ac:dyDescent="0.25">
      <c r="A63" s="15"/>
      <c r="B63" s="16"/>
      <c r="C63" s="16"/>
      <c r="D63" s="16"/>
      <c r="E63" s="16"/>
      <c r="F63" s="16"/>
      <c r="G63" s="17"/>
    </row>
    <row r="64" spans="1:7" x14ac:dyDescent="0.25">
      <c r="A64" s="18" t="s">
        <v>27</v>
      </c>
      <c r="B64" s="19"/>
      <c r="C64" s="19"/>
      <c r="D64" s="19"/>
      <c r="E64" s="19"/>
      <c r="F64" s="19"/>
      <c r="G64" s="20"/>
    </row>
    <row r="65" spans="1:7" x14ac:dyDescent="0.25">
      <c r="A65" s="18"/>
      <c r="B65" s="19"/>
      <c r="C65" s="19"/>
      <c r="D65" s="19"/>
      <c r="E65" s="19"/>
      <c r="F65" s="19"/>
      <c r="G65" s="20"/>
    </row>
    <row r="66" spans="1:7" x14ac:dyDescent="0.25">
      <c r="A66" s="28" t="s">
        <v>28</v>
      </c>
      <c r="B66" s="29"/>
      <c r="C66" s="29"/>
      <c r="D66" s="29"/>
      <c r="E66" s="29"/>
      <c r="F66" s="29"/>
      <c r="G66" s="30"/>
    </row>
    <row r="67" spans="1:7" x14ac:dyDescent="0.25">
      <c r="A67" s="18"/>
      <c r="B67" s="19"/>
      <c r="C67" s="19"/>
      <c r="D67" s="19"/>
      <c r="E67" s="19"/>
      <c r="F67" s="19"/>
      <c r="G67" s="20"/>
    </row>
    <row r="68" spans="1:7" x14ac:dyDescent="0.25">
      <c r="A68" s="28" t="s">
        <v>41</v>
      </c>
      <c r="B68" s="29"/>
      <c r="C68" s="19"/>
      <c r="D68" s="19"/>
      <c r="E68" s="19"/>
      <c r="F68" s="21" t="s">
        <v>29</v>
      </c>
      <c r="G68" s="20"/>
    </row>
    <row r="69" spans="1:7" x14ac:dyDescent="0.25">
      <c r="A69" s="31" t="s">
        <v>42</v>
      </c>
      <c r="B69" s="32"/>
      <c r="C69" s="22"/>
      <c r="D69" s="22"/>
      <c r="E69" s="22"/>
      <c r="F69" s="23" t="s">
        <v>30</v>
      </c>
      <c r="G69" s="24"/>
    </row>
    <row r="73" spans="1:7" x14ac:dyDescent="0.25">
      <c r="A73" s="33" t="s">
        <v>0</v>
      </c>
      <c r="B73" s="33"/>
      <c r="C73" s="33"/>
      <c r="D73" s="33"/>
      <c r="E73" s="33"/>
      <c r="F73" s="33"/>
      <c r="G73" s="33"/>
    </row>
    <row r="74" spans="1:7" x14ac:dyDescent="0.25">
      <c r="A74" s="34" t="s">
        <v>1</v>
      </c>
      <c r="B74" s="34"/>
      <c r="C74" s="34"/>
      <c r="D74" s="34"/>
      <c r="E74" s="34"/>
      <c r="F74" s="34"/>
      <c r="G74" s="34"/>
    </row>
    <row r="75" spans="1:7" x14ac:dyDescent="0.25">
      <c r="A75" s="33" t="s">
        <v>36</v>
      </c>
      <c r="B75" s="33"/>
      <c r="C75" s="33"/>
      <c r="D75" s="33"/>
      <c r="E75" s="33"/>
      <c r="F75" s="33"/>
      <c r="G75" s="33"/>
    </row>
    <row r="76" spans="1:7" x14ac:dyDescent="0.25">
      <c r="A76" s="33" t="s">
        <v>37</v>
      </c>
      <c r="B76" s="33"/>
      <c r="C76" s="33"/>
      <c r="D76" s="33"/>
      <c r="E76" s="33"/>
      <c r="F76" s="33"/>
      <c r="G76" s="33"/>
    </row>
    <row r="77" spans="1:7" x14ac:dyDescent="0.25">
      <c r="A77" s="27" t="s">
        <v>49</v>
      </c>
      <c r="B77" s="1"/>
      <c r="C77" s="1"/>
      <c r="D77" s="1"/>
      <c r="E77" s="1"/>
      <c r="F77" s="1"/>
      <c r="G77" s="1"/>
    </row>
    <row r="78" spans="1:7" x14ac:dyDescent="0.25">
      <c r="A78" s="1" t="s">
        <v>2</v>
      </c>
      <c r="B78" s="35"/>
      <c r="C78" s="36"/>
      <c r="D78" s="36"/>
      <c r="E78" s="37"/>
      <c r="F78" s="1"/>
      <c r="G78" s="1"/>
    </row>
    <row r="79" spans="1:7" x14ac:dyDescent="0.25">
      <c r="A79" s="1" t="s">
        <v>4</v>
      </c>
      <c r="B79" s="1" t="s">
        <v>45</v>
      </c>
      <c r="C79" s="1"/>
      <c r="D79" s="1"/>
      <c r="E79" s="1"/>
      <c r="F79" s="1"/>
      <c r="G79" s="1"/>
    </row>
    <row r="80" spans="1:7" x14ac:dyDescent="0.25">
      <c r="A80" s="2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10</v>
      </c>
      <c r="G80" s="2" t="s">
        <v>11</v>
      </c>
    </row>
    <row r="81" spans="1:7" x14ac:dyDescent="0.25">
      <c r="A81" s="5">
        <v>700</v>
      </c>
      <c r="B81" s="6">
        <v>700</v>
      </c>
      <c r="C81" s="6">
        <f>A81-B81</f>
        <v>0</v>
      </c>
      <c r="D81" s="4"/>
      <c r="E81" s="4"/>
      <c r="F81" s="3" t="s">
        <v>12</v>
      </c>
      <c r="G81" s="25">
        <f>C81</f>
        <v>0</v>
      </c>
    </row>
    <row r="82" spans="1:7" x14ac:dyDescent="0.25">
      <c r="A82" s="7">
        <v>0</v>
      </c>
      <c r="B82" s="6">
        <v>0</v>
      </c>
      <c r="C82" s="6">
        <f t="shared" ref="C82:C86" si="4">A82-B82</f>
        <v>0</v>
      </c>
      <c r="D82" s="4"/>
      <c r="E82" s="4"/>
      <c r="F82" s="4" t="s">
        <v>13</v>
      </c>
      <c r="G82" s="6">
        <f>C82</f>
        <v>0</v>
      </c>
    </row>
    <row r="83" spans="1:7" x14ac:dyDescent="0.25">
      <c r="A83" s="6">
        <v>0</v>
      </c>
      <c r="B83" s="6"/>
      <c r="C83" s="6">
        <f t="shared" si="4"/>
        <v>0</v>
      </c>
      <c r="D83" s="4"/>
      <c r="E83" s="4"/>
      <c r="F83" s="8" t="s">
        <v>14</v>
      </c>
      <c r="G83" s="6">
        <v>0</v>
      </c>
    </row>
    <row r="84" spans="1:7" x14ac:dyDescent="0.25">
      <c r="A84" s="6">
        <v>0</v>
      </c>
      <c r="B84" s="6"/>
      <c r="C84" s="6">
        <f t="shared" si="4"/>
        <v>0</v>
      </c>
      <c r="D84" s="4"/>
      <c r="E84" s="4"/>
      <c r="F84" s="4" t="s">
        <v>15</v>
      </c>
      <c r="G84" s="6"/>
    </row>
    <row r="85" spans="1:7" x14ac:dyDescent="0.25">
      <c r="A85" s="6">
        <v>0</v>
      </c>
      <c r="B85" s="6"/>
      <c r="C85" s="6">
        <f t="shared" si="4"/>
        <v>0</v>
      </c>
      <c r="D85" s="4"/>
      <c r="E85" s="4"/>
      <c r="F85" s="4" t="s">
        <v>16</v>
      </c>
      <c r="G85" s="6"/>
    </row>
    <row r="86" spans="1:7" x14ac:dyDescent="0.25">
      <c r="A86" s="6">
        <v>1000</v>
      </c>
      <c r="B86" s="6">
        <v>0</v>
      </c>
      <c r="C86" s="6">
        <f t="shared" si="4"/>
        <v>1000</v>
      </c>
      <c r="D86" s="4"/>
      <c r="E86" s="4"/>
      <c r="F86" s="3" t="s">
        <v>17</v>
      </c>
      <c r="G86" s="6">
        <v>100</v>
      </c>
    </row>
    <row r="87" spans="1:7" x14ac:dyDescent="0.25">
      <c r="A87" s="6"/>
      <c r="B87" s="6"/>
      <c r="C87" s="6"/>
      <c r="D87" s="4"/>
      <c r="E87" s="4"/>
      <c r="F87" s="4" t="s">
        <v>18</v>
      </c>
      <c r="G87" s="6">
        <v>0</v>
      </c>
    </row>
    <row r="88" spans="1:7" x14ac:dyDescent="0.25">
      <c r="A88" s="6"/>
      <c r="B88" s="6"/>
      <c r="C88" s="6"/>
      <c r="D88" s="4"/>
      <c r="E88" s="4"/>
      <c r="F88" s="4" t="s">
        <v>19</v>
      </c>
      <c r="G88" s="6">
        <v>0</v>
      </c>
    </row>
    <row r="89" spans="1:7" x14ac:dyDescent="0.25">
      <c r="A89" s="6">
        <v>0</v>
      </c>
      <c r="B89" s="6"/>
      <c r="C89" s="6">
        <f t="shared" ref="C89:C97" si="5">A89-B89</f>
        <v>0</v>
      </c>
      <c r="D89" s="4"/>
      <c r="E89" s="4"/>
      <c r="F89" s="4" t="s">
        <v>20</v>
      </c>
      <c r="G89" s="6">
        <v>0</v>
      </c>
    </row>
    <row r="90" spans="1:7" x14ac:dyDescent="0.25">
      <c r="A90" s="6">
        <v>0</v>
      </c>
      <c r="B90" s="6"/>
      <c r="C90" s="6">
        <f t="shared" si="5"/>
        <v>0</v>
      </c>
      <c r="D90" s="4"/>
      <c r="E90" s="4"/>
      <c r="F90" s="4" t="s">
        <v>21</v>
      </c>
      <c r="G90" s="6">
        <v>0</v>
      </c>
    </row>
    <row r="91" spans="1:7" x14ac:dyDescent="0.25">
      <c r="A91" s="5">
        <v>0</v>
      </c>
      <c r="B91" s="6">
        <v>0</v>
      </c>
      <c r="C91" s="6">
        <f t="shared" si="5"/>
        <v>0</v>
      </c>
      <c r="D91" s="4"/>
      <c r="E91" s="4"/>
      <c r="F91" s="4" t="s">
        <v>22</v>
      </c>
      <c r="G91" s="6">
        <v>0</v>
      </c>
    </row>
    <row r="92" spans="1:7" x14ac:dyDescent="0.25">
      <c r="A92" s="5">
        <v>0</v>
      </c>
      <c r="B92" s="6">
        <v>0</v>
      </c>
      <c r="C92" s="6">
        <f t="shared" si="5"/>
        <v>0</v>
      </c>
      <c r="D92" s="4"/>
      <c r="E92" s="4"/>
      <c r="F92" s="4" t="s">
        <v>23</v>
      </c>
      <c r="G92" s="6">
        <v>0</v>
      </c>
    </row>
    <row r="93" spans="1:7" x14ac:dyDescent="0.25">
      <c r="A93" s="5">
        <v>500</v>
      </c>
      <c r="B93" s="6">
        <v>0</v>
      </c>
      <c r="C93" s="6">
        <f t="shared" si="5"/>
        <v>500</v>
      </c>
      <c r="D93" s="4"/>
      <c r="E93" s="4"/>
      <c r="F93" s="3" t="s">
        <v>24</v>
      </c>
      <c r="G93" s="6">
        <v>50</v>
      </c>
    </row>
    <row r="94" spans="1:7" x14ac:dyDescent="0.25">
      <c r="A94" s="5">
        <v>4050</v>
      </c>
      <c r="B94" s="6">
        <v>0</v>
      </c>
      <c r="C94" s="6">
        <f t="shared" si="5"/>
        <v>4050</v>
      </c>
      <c r="D94" s="9"/>
      <c r="E94" s="10"/>
      <c r="F94" s="3" t="s">
        <v>25</v>
      </c>
      <c r="G94" s="6">
        <v>405</v>
      </c>
    </row>
    <row r="95" spans="1:7" x14ac:dyDescent="0.25">
      <c r="A95" s="5">
        <v>490</v>
      </c>
      <c r="B95" s="6">
        <v>490</v>
      </c>
      <c r="C95" s="6">
        <f t="shared" si="5"/>
        <v>0</v>
      </c>
      <c r="D95" s="9"/>
      <c r="E95" s="11"/>
      <c r="F95" s="13" t="s">
        <v>40</v>
      </c>
      <c r="G95" s="6">
        <f>C95</f>
        <v>0</v>
      </c>
    </row>
    <row r="96" spans="1:7" x14ac:dyDescent="0.25">
      <c r="A96" s="5">
        <v>250</v>
      </c>
      <c r="B96" s="6">
        <v>250</v>
      </c>
      <c r="C96" s="6">
        <f t="shared" si="5"/>
        <v>0</v>
      </c>
      <c r="D96" s="4"/>
      <c r="E96" s="12"/>
      <c r="F96" s="4" t="s">
        <v>35</v>
      </c>
      <c r="G96" s="6">
        <f>C96</f>
        <v>0</v>
      </c>
    </row>
    <row r="97" spans="1:7" x14ac:dyDescent="0.25">
      <c r="A97" s="5">
        <v>0</v>
      </c>
      <c r="B97" s="6">
        <v>0</v>
      </c>
      <c r="C97" s="6">
        <f t="shared" si="5"/>
        <v>0</v>
      </c>
      <c r="D97" s="4"/>
      <c r="E97" s="4"/>
      <c r="F97" s="3" t="s">
        <v>39</v>
      </c>
      <c r="G97" s="6">
        <v>0</v>
      </c>
    </row>
    <row r="98" spans="1:7" x14ac:dyDescent="0.25">
      <c r="A98" s="5">
        <f>A81+A86+A93+A94+A96+A95+A97</f>
        <v>6990</v>
      </c>
      <c r="B98" s="6">
        <f>B81+B86+B93+B94+B95+B96+B97</f>
        <v>1440</v>
      </c>
      <c r="C98" s="6">
        <f>C81+C93+C94+C86+C95+C96+C97</f>
        <v>5550</v>
      </c>
      <c r="D98" s="38" t="s">
        <v>26</v>
      </c>
      <c r="E98" s="39"/>
      <c r="F98" s="40"/>
      <c r="G98" s="14">
        <f>G81+G86+G93+G94+G95+G96+G97</f>
        <v>555</v>
      </c>
    </row>
    <row r="99" spans="1:7" x14ac:dyDescent="0.25">
      <c r="A99" s="15"/>
      <c r="B99" s="16"/>
      <c r="C99" s="16"/>
      <c r="D99" s="16"/>
      <c r="E99" s="16"/>
      <c r="F99" s="16"/>
      <c r="G99" s="17"/>
    </row>
    <row r="100" spans="1:7" x14ac:dyDescent="0.25">
      <c r="A100" s="18" t="s">
        <v>27</v>
      </c>
      <c r="B100" s="19"/>
      <c r="C100" s="19"/>
      <c r="D100" s="19"/>
      <c r="E100" s="19"/>
      <c r="F100" s="19"/>
      <c r="G100" s="20"/>
    </row>
    <row r="101" spans="1:7" x14ac:dyDescent="0.25">
      <c r="A101" s="18"/>
      <c r="B101" s="19"/>
      <c r="C101" s="19"/>
      <c r="D101" s="19"/>
      <c r="E101" s="19"/>
      <c r="F101" s="19"/>
      <c r="G101" s="20"/>
    </row>
    <row r="102" spans="1:7" x14ac:dyDescent="0.25">
      <c r="A102" s="28" t="s">
        <v>28</v>
      </c>
      <c r="B102" s="29"/>
      <c r="C102" s="29"/>
      <c r="D102" s="29"/>
      <c r="E102" s="29"/>
      <c r="F102" s="29"/>
      <c r="G102" s="30"/>
    </row>
    <row r="103" spans="1:7" x14ac:dyDescent="0.25">
      <c r="A103" s="18"/>
      <c r="B103" s="19"/>
      <c r="C103" s="19"/>
      <c r="D103" s="19"/>
      <c r="E103" s="19"/>
      <c r="F103" s="19"/>
      <c r="G103" s="20"/>
    </row>
    <row r="104" spans="1:7" x14ac:dyDescent="0.25">
      <c r="A104" s="28" t="s">
        <v>41</v>
      </c>
      <c r="B104" s="29"/>
      <c r="C104" s="19"/>
      <c r="D104" s="19"/>
      <c r="E104" s="19"/>
      <c r="F104" s="21" t="s">
        <v>29</v>
      </c>
      <c r="G104" s="20"/>
    </row>
    <row r="105" spans="1:7" x14ac:dyDescent="0.25">
      <c r="A105" s="31" t="s">
        <v>42</v>
      </c>
      <c r="B105" s="32"/>
      <c r="C105" s="22"/>
      <c r="D105" s="22"/>
      <c r="E105" s="22"/>
      <c r="F105" s="23" t="s">
        <v>30</v>
      </c>
      <c r="G105" s="24"/>
    </row>
    <row r="109" spans="1:7" x14ac:dyDescent="0.25">
      <c r="A109" s="33" t="s">
        <v>0</v>
      </c>
      <c r="B109" s="33"/>
      <c r="C109" s="33"/>
      <c r="D109" s="33"/>
      <c r="E109" s="33"/>
      <c r="F109" s="33"/>
      <c r="G109" s="33"/>
    </row>
    <row r="110" spans="1:7" x14ac:dyDescent="0.25">
      <c r="A110" s="34" t="s">
        <v>1</v>
      </c>
      <c r="B110" s="34"/>
      <c r="C110" s="34"/>
      <c r="D110" s="34"/>
      <c r="E110" s="34"/>
      <c r="F110" s="34"/>
      <c r="G110" s="34"/>
    </row>
    <row r="111" spans="1:7" x14ac:dyDescent="0.25">
      <c r="A111" s="33" t="s">
        <v>36</v>
      </c>
      <c r="B111" s="33"/>
      <c r="C111" s="33"/>
      <c r="D111" s="33"/>
      <c r="E111" s="33"/>
      <c r="F111" s="33"/>
      <c r="G111" s="33"/>
    </row>
    <row r="112" spans="1:7" x14ac:dyDescent="0.25">
      <c r="A112" s="33" t="s">
        <v>37</v>
      </c>
      <c r="B112" s="33"/>
      <c r="C112" s="33"/>
      <c r="D112" s="33"/>
      <c r="E112" s="33"/>
      <c r="F112" s="33"/>
      <c r="G112" s="33"/>
    </row>
    <row r="113" spans="1:7" x14ac:dyDescent="0.25">
      <c r="A113" s="27" t="s">
        <v>50</v>
      </c>
      <c r="B113" s="1"/>
      <c r="C113" s="1"/>
      <c r="D113" s="1"/>
      <c r="E113" s="1"/>
      <c r="F113" s="1"/>
      <c r="G113" s="1"/>
    </row>
    <row r="114" spans="1:7" x14ac:dyDescent="0.25">
      <c r="A114" s="1" t="s">
        <v>2</v>
      </c>
      <c r="B114" s="35"/>
      <c r="C114" s="36"/>
      <c r="D114" s="36"/>
      <c r="E114" s="37"/>
      <c r="F114" s="1"/>
      <c r="G114" s="1"/>
    </row>
    <row r="115" spans="1:7" x14ac:dyDescent="0.25">
      <c r="A115" s="1" t="s">
        <v>4</v>
      </c>
      <c r="B115" s="1" t="s">
        <v>45</v>
      </c>
      <c r="C115" s="1"/>
      <c r="D115" s="1"/>
      <c r="E115" s="1"/>
      <c r="F115" s="1"/>
      <c r="G115" s="1"/>
    </row>
    <row r="116" spans="1:7" x14ac:dyDescent="0.25">
      <c r="A116" s="2" t="s">
        <v>5</v>
      </c>
      <c r="B116" s="2" t="s">
        <v>6</v>
      </c>
      <c r="C116" s="2" t="s">
        <v>7</v>
      </c>
      <c r="D116" s="2" t="s">
        <v>8</v>
      </c>
      <c r="E116" s="2" t="s">
        <v>9</v>
      </c>
      <c r="F116" s="2" t="s">
        <v>10</v>
      </c>
      <c r="G116" s="2" t="s">
        <v>11</v>
      </c>
    </row>
    <row r="117" spans="1:7" x14ac:dyDescent="0.25">
      <c r="A117" s="5">
        <v>900</v>
      </c>
      <c r="B117" s="6">
        <v>900</v>
      </c>
      <c r="C117" s="6">
        <f>A117-B117</f>
        <v>0</v>
      </c>
      <c r="D117" s="4"/>
      <c r="E117" s="4"/>
      <c r="F117" s="3" t="s">
        <v>12</v>
      </c>
      <c r="G117" s="25">
        <f>C117</f>
        <v>0</v>
      </c>
    </row>
    <row r="118" spans="1:7" x14ac:dyDescent="0.25">
      <c r="A118" s="7">
        <v>0</v>
      </c>
      <c r="B118" s="6">
        <v>0</v>
      </c>
      <c r="C118" s="6">
        <f t="shared" ref="C118:C122" si="6">A118-B118</f>
        <v>0</v>
      </c>
      <c r="D118" s="4"/>
      <c r="E118" s="4"/>
      <c r="F118" s="4" t="s">
        <v>13</v>
      </c>
      <c r="G118" s="6">
        <f>C118</f>
        <v>0</v>
      </c>
    </row>
    <row r="119" spans="1:7" x14ac:dyDescent="0.25">
      <c r="A119" s="6">
        <v>0</v>
      </c>
      <c r="B119" s="6"/>
      <c r="C119" s="6">
        <f t="shared" si="6"/>
        <v>0</v>
      </c>
      <c r="D119" s="4"/>
      <c r="E119" s="4"/>
      <c r="F119" s="8" t="s">
        <v>14</v>
      </c>
      <c r="G119" s="6">
        <v>0</v>
      </c>
    </row>
    <row r="120" spans="1:7" x14ac:dyDescent="0.25">
      <c r="A120" s="6">
        <v>0</v>
      </c>
      <c r="B120" s="6"/>
      <c r="C120" s="6">
        <f t="shared" si="6"/>
        <v>0</v>
      </c>
      <c r="D120" s="4"/>
      <c r="E120" s="4"/>
      <c r="F120" s="4" t="s">
        <v>15</v>
      </c>
      <c r="G120" s="6"/>
    </row>
    <row r="121" spans="1:7" x14ac:dyDescent="0.25">
      <c r="A121" s="6">
        <v>0</v>
      </c>
      <c r="B121" s="6"/>
      <c r="C121" s="6">
        <f t="shared" si="6"/>
        <v>0</v>
      </c>
      <c r="D121" s="4"/>
      <c r="E121" s="4"/>
      <c r="F121" s="4" t="s">
        <v>16</v>
      </c>
      <c r="G121" s="6"/>
    </row>
    <row r="122" spans="1:7" x14ac:dyDescent="0.25">
      <c r="A122" s="6">
        <v>1000</v>
      </c>
      <c r="B122" s="6">
        <v>0</v>
      </c>
      <c r="C122" s="6">
        <f t="shared" si="6"/>
        <v>1000</v>
      </c>
      <c r="D122" s="4"/>
      <c r="E122" s="4"/>
      <c r="F122" s="3" t="s">
        <v>17</v>
      </c>
      <c r="G122" s="6">
        <v>100</v>
      </c>
    </row>
    <row r="123" spans="1:7" x14ac:dyDescent="0.25">
      <c r="A123" s="6"/>
      <c r="B123" s="6"/>
      <c r="C123" s="6"/>
      <c r="D123" s="4"/>
      <c r="E123" s="4"/>
      <c r="F123" s="4" t="s">
        <v>18</v>
      </c>
      <c r="G123" s="6">
        <v>0</v>
      </c>
    </row>
    <row r="124" spans="1:7" x14ac:dyDescent="0.25">
      <c r="A124" s="6"/>
      <c r="B124" s="6"/>
      <c r="C124" s="6"/>
      <c r="D124" s="4"/>
      <c r="E124" s="4"/>
      <c r="F124" s="4" t="s">
        <v>19</v>
      </c>
      <c r="G124" s="6">
        <v>0</v>
      </c>
    </row>
    <row r="125" spans="1:7" x14ac:dyDescent="0.25">
      <c r="A125" s="6">
        <v>0</v>
      </c>
      <c r="B125" s="6"/>
      <c r="C125" s="6">
        <f t="shared" ref="C125:C133" si="7">A125-B125</f>
        <v>0</v>
      </c>
      <c r="D125" s="4"/>
      <c r="E125" s="4"/>
      <c r="F125" s="4" t="s">
        <v>20</v>
      </c>
      <c r="G125" s="6">
        <v>0</v>
      </c>
    </row>
    <row r="126" spans="1:7" x14ac:dyDescent="0.25">
      <c r="A126" s="6">
        <v>0</v>
      </c>
      <c r="B126" s="6"/>
      <c r="C126" s="6">
        <f t="shared" si="7"/>
        <v>0</v>
      </c>
      <c r="D126" s="4"/>
      <c r="E126" s="4"/>
      <c r="F126" s="4" t="s">
        <v>21</v>
      </c>
      <c r="G126" s="6">
        <v>0</v>
      </c>
    </row>
    <row r="127" spans="1:7" x14ac:dyDescent="0.25">
      <c r="A127" s="5">
        <v>0</v>
      </c>
      <c r="B127" s="6">
        <v>0</v>
      </c>
      <c r="C127" s="6">
        <f t="shared" si="7"/>
        <v>0</v>
      </c>
      <c r="D127" s="4"/>
      <c r="E127" s="4"/>
      <c r="F127" s="4" t="s">
        <v>22</v>
      </c>
      <c r="G127" s="6">
        <v>0</v>
      </c>
    </row>
    <row r="128" spans="1:7" x14ac:dyDescent="0.25">
      <c r="A128" s="5">
        <v>0</v>
      </c>
      <c r="B128" s="6">
        <v>0</v>
      </c>
      <c r="C128" s="6">
        <f t="shared" si="7"/>
        <v>0</v>
      </c>
      <c r="D128" s="4"/>
      <c r="E128" s="4"/>
      <c r="F128" s="4" t="s">
        <v>23</v>
      </c>
      <c r="G128" s="6">
        <v>0</v>
      </c>
    </row>
    <row r="129" spans="1:7" x14ac:dyDescent="0.25">
      <c r="A129" s="5">
        <v>500</v>
      </c>
      <c r="B129" s="6">
        <v>0</v>
      </c>
      <c r="C129" s="6">
        <f t="shared" si="7"/>
        <v>500</v>
      </c>
      <c r="D129" s="4"/>
      <c r="E129" s="4"/>
      <c r="F129" s="3" t="s">
        <v>24</v>
      </c>
      <c r="G129" s="6">
        <v>50</v>
      </c>
    </row>
    <row r="130" spans="1:7" x14ac:dyDescent="0.25">
      <c r="A130" s="5">
        <v>4050</v>
      </c>
      <c r="B130" s="6">
        <v>0</v>
      </c>
      <c r="C130" s="6">
        <f t="shared" si="7"/>
        <v>4050</v>
      </c>
      <c r="D130" s="9"/>
      <c r="E130" s="10"/>
      <c r="F130" s="3" t="s">
        <v>25</v>
      </c>
      <c r="G130" s="6">
        <v>405</v>
      </c>
    </row>
    <row r="131" spans="1:7" x14ac:dyDescent="0.25">
      <c r="A131" s="5">
        <v>490</v>
      </c>
      <c r="B131" s="6">
        <v>490</v>
      </c>
      <c r="C131" s="6">
        <f t="shared" si="7"/>
        <v>0</v>
      </c>
      <c r="D131" s="9"/>
      <c r="E131" s="11"/>
      <c r="F131" s="13" t="s">
        <v>40</v>
      </c>
      <c r="G131" s="6">
        <f>C131</f>
        <v>0</v>
      </c>
    </row>
    <row r="132" spans="1:7" x14ac:dyDescent="0.25">
      <c r="A132" s="5">
        <v>250</v>
      </c>
      <c r="B132" s="6">
        <v>250</v>
      </c>
      <c r="C132" s="6">
        <f t="shared" si="7"/>
        <v>0</v>
      </c>
      <c r="D132" s="4"/>
      <c r="E132" s="12"/>
      <c r="F132" s="4" t="s">
        <v>35</v>
      </c>
      <c r="G132" s="6">
        <f>C132</f>
        <v>0</v>
      </c>
    </row>
    <row r="133" spans="1:7" x14ac:dyDescent="0.25">
      <c r="A133" s="5">
        <v>0</v>
      </c>
      <c r="B133" s="6">
        <v>0</v>
      </c>
      <c r="C133" s="6">
        <f t="shared" si="7"/>
        <v>0</v>
      </c>
      <c r="D133" s="4"/>
      <c r="E133" s="4"/>
      <c r="F133" s="3" t="s">
        <v>39</v>
      </c>
      <c r="G133" s="6">
        <v>0</v>
      </c>
    </row>
    <row r="134" spans="1:7" x14ac:dyDescent="0.25">
      <c r="A134" s="5">
        <f>A117+A122+A129+A130+A132+A131+A133</f>
        <v>7190</v>
      </c>
      <c r="B134" s="6">
        <f>B117+B122+B129+B130+B131+B132+B133</f>
        <v>1640</v>
      </c>
      <c r="C134" s="6">
        <f>C117+C129+C130+C122+C131+C132+C133</f>
        <v>5550</v>
      </c>
      <c r="D134" s="38" t="s">
        <v>26</v>
      </c>
      <c r="E134" s="39"/>
      <c r="F134" s="40"/>
      <c r="G134" s="14">
        <f>G117+G122+G129+G130+G131+G132+G133</f>
        <v>555</v>
      </c>
    </row>
    <row r="135" spans="1:7" x14ac:dyDescent="0.25">
      <c r="A135" s="15"/>
      <c r="B135" s="16"/>
      <c r="C135" s="16"/>
      <c r="D135" s="16"/>
      <c r="E135" s="16"/>
      <c r="F135" s="16"/>
      <c r="G135" s="17"/>
    </row>
    <row r="136" spans="1:7" x14ac:dyDescent="0.25">
      <c r="A136" s="18" t="s">
        <v>27</v>
      </c>
      <c r="B136" s="19"/>
      <c r="C136" s="19"/>
      <c r="D136" s="19"/>
      <c r="E136" s="19"/>
      <c r="F136" s="19"/>
      <c r="G136" s="20"/>
    </row>
    <row r="137" spans="1:7" x14ac:dyDescent="0.25">
      <c r="A137" s="18"/>
      <c r="B137" s="19"/>
      <c r="C137" s="19"/>
      <c r="D137" s="19"/>
      <c r="E137" s="19"/>
      <c r="F137" s="19"/>
      <c r="G137" s="20"/>
    </row>
    <row r="138" spans="1:7" x14ac:dyDescent="0.25">
      <c r="A138" s="28" t="s">
        <v>28</v>
      </c>
      <c r="B138" s="29"/>
      <c r="C138" s="29"/>
      <c r="D138" s="29"/>
      <c r="E138" s="29"/>
      <c r="F138" s="29"/>
      <c r="G138" s="30"/>
    </row>
    <row r="139" spans="1:7" x14ac:dyDescent="0.25">
      <c r="A139" s="18"/>
      <c r="B139" s="19"/>
      <c r="C139" s="19"/>
      <c r="D139" s="19"/>
      <c r="E139" s="19"/>
      <c r="F139" s="19"/>
      <c r="G139" s="20"/>
    </row>
    <row r="140" spans="1:7" x14ac:dyDescent="0.25">
      <c r="A140" s="28" t="s">
        <v>41</v>
      </c>
      <c r="B140" s="29"/>
      <c r="C140" s="19"/>
      <c r="D140" s="19"/>
      <c r="E140" s="19"/>
      <c r="F140" s="21" t="s">
        <v>29</v>
      </c>
      <c r="G140" s="20"/>
    </row>
    <row r="141" spans="1:7" x14ac:dyDescent="0.25">
      <c r="A141" s="31" t="s">
        <v>42</v>
      </c>
      <c r="B141" s="32"/>
      <c r="C141" s="22"/>
      <c r="D141" s="22"/>
      <c r="E141" s="22"/>
      <c r="F141" s="23" t="s">
        <v>30</v>
      </c>
      <c r="G141" s="24"/>
    </row>
  </sheetData>
  <mergeCells count="36">
    <mergeCell ref="A39:G39"/>
    <mergeCell ref="A1:G1"/>
    <mergeCell ref="A2:G2"/>
    <mergeCell ref="A3:G3"/>
    <mergeCell ref="A4:G4"/>
    <mergeCell ref="B6:E6"/>
    <mergeCell ref="D26:F26"/>
    <mergeCell ref="A30:G30"/>
    <mergeCell ref="A32:B32"/>
    <mergeCell ref="A33:B33"/>
    <mergeCell ref="A37:G37"/>
    <mergeCell ref="A38:G38"/>
    <mergeCell ref="D98:F98"/>
    <mergeCell ref="A40:G40"/>
    <mergeCell ref="B42:E42"/>
    <mergeCell ref="D62:F62"/>
    <mergeCell ref="A66:G66"/>
    <mergeCell ref="A68:B68"/>
    <mergeCell ref="A69:B69"/>
    <mergeCell ref="A73:G73"/>
    <mergeCell ref="A74:G74"/>
    <mergeCell ref="A75:G75"/>
    <mergeCell ref="A76:G76"/>
    <mergeCell ref="B78:E78"/>
    <mergeCell ref="A141:B141"/>
    <mergeCell ref="A102:G102"/>
    <mergeCell ref="A104:B104"/>
    <mergeCell ref="A105:B105"/>
    <mergeCell ref="A109:G109"/>
    <mergeCell ref="A110:G110"/>
    <mergeCell ref="A111:G111"/>
    <mergeCell ref="A112:G112"/>
    <mergeCell ref="B114:E114"/>
    <mergeCell ref="D134:F134"/>
    <mergeCell ref="A138:G138"/>
    <mergeCell ref="A140:B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KENDER</vt:lpstr>
      <vt:lpstr>GRADE 1-3</vt:lpstr>
      <vt:lpstr>GRADE 4-6</vt:lpstr>
      <vt:lpstr>GRADE 7-12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BOOK-KEEPER</dc:creator>
  <cp:lastModifiedBy>Jul</cp:lastModifiedBy>
  <dcterms:created xsi:type="dcterms:W3CDTF">2026-06-21T02:09:02Z</dcterms:created>
  <dcterms:modified xsi:type="dcterms:W3CDTF">2026-06-25T11:39:56Z</dcterms:modified>
</cp:coreProperties>
</file>